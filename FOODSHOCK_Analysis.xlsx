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f5b00c256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41680749e154d7f"/>
    <x:sheet xmlns:r="http://schemas.openxmlformats.org/officeDocument/2006/relationships" name="Scenario" sheetId="2" r:id="R9e9749a66fc740e4"/>
    <x:sheet xmlns:r="http://schemas.openxmlformats.org/officeDocument/2006/relationships" name="History" sheetId="3" r:id="Rdae1ff0162c243a7"/>
    <x:sheet xmlns:r="http://schemas.openxmlformats.org/officeDocument/2006/relationships" name="Forecasts" sheetId="4" r:id="R4ec6db8a66f242a5"/>
    <x:sheet xmlns:r="http://schemas.openxmlformats.org/officeDocument/2006/relationships" name="Sources" sheetId="5" r:id="R9d24f2f32d2648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#,##0.0"/>
    <x:numFmt numFmtId="202" formatCode="#,##0.00"/>
    <x:numFmt numFmtId="203" formatCode="0.0%"/>
  </x:numFmts>
  <x:fonts count="7">
    <x:font>
      <x:sz val="11"/>
      <x:name val="Carlito"/>
    </x:font>
    <x:font>
      <x:sz val="10"/>
      <x:color rgb="FF183149"/>
      <x:name val="Arial"/>
    </x:font>
    <x:font>
      <x:b/>
      <x:sz val="16"/>
      <x:color rgb="FF142B46"/>
      <x:name val="Arial"/>
    </x:font>
    <x:font>
      <x:i/>
      <x:sz val="10"/>
      <x:color rgb="FF52657B"/>
      <x:name val="Arial"/>
    </x:font>
    <x:font>
      <x:b/>
      <x:sz val="10"/>
      <x:color rgb="FFFFFFFF"/>
      <x:name val="Arial"/>
    </x:font>
    <x:font>
      <x:sz val="10"/>
      <x:color rgb="FF52657B"/>
      <x:name val="Arial"/>
    </x:font>
    <x:font>
      <x:b/>
      <x:sz val="10"/>
      <x:color rgb="FF1831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B46"/>
      </x:patternFill>
    </x:fill>
    <x:fill>
      <x:patternFill patternType="solid">
        <x:fgColor rgb="FFFFF0B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267e737164c7a" /><Relationship Type="http://schemas.openxmlformats.org/officeDocument/2006/relationships/theme" Target="/xl/theme/theme1.xml" Id="R02eaa6ee77b94698" /><Relationship Type="http://schemas.openxmlformats.org/officeDocument/2006/relationships/sharedStrings" Target="/xl/sharedStrings.xml" Id="R48518f9c7bfd4a39" /><Relationship Type="http://schemas.openxmlformats.org/officeDocument/2006/relationships/worksheet" Target="/xl/worksheets/sheet1.xml" Id="Ra41680749e154d7f" /><Relationship Type="http://schemas.openxmlformats.org/officeDocument/2006/relationships/worksheet" Target="/xl/worksheets/sheet2.xml" Id="R9e9749a66fc740e4" /><Relationship Type="http://schemas.openxmlformats.org/officeDocument/2006/relationships/worksheet" Target="/xl/worksheets/sheet3.xml" Id="Rdae1ff0162c243a7" /><Relationship Type="http://schemas.openxmlformats.org/officeDocument/2006/relationships/worksheet" Target="/xl/worksheets/sheet4.xml" Id="R4ec6db8a66f242a5" /><Relationship Type="http://schemas.openxmlformats.org/officeDocument/2006/relationships/worksheet" Target="/xl/worksheets/sheet5.xml" Id="R9d24f2f32d2648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30e840b78543fa" /><Relationship Type="http://schemas.openxmlformats.org/officeDocument/2006/relationships/chart" Target="/xl/drawings/charts/chart2.xml" Id="Rbfff9190f56e4c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Wheat price index (2020 average = 100)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Wheat 2020=100</c:v>
          </c:tx>
          <c:spPr>
            <a:ln xmlns:a="http://schemas.openxmlformats.org/drawingml/2006/main" w="19050">
              <a:solidFill>
                <a:srgbClr val="2478B5"/>
              </a:solidFill>
              <a:prstDash val="solid"/>
            </a:ln>
          </c:spPr>
          <c:marker>
            <c:symbol val="none"/>
          </c:marker>
          <c:cat>
            <c:strRef>
              <c:f>'Overview'!$A$23:$A$82</c:f>
              <c:strCache>
                <c:ptCount val="0"/>
              </c:strCache>
            </c:strRef>
          </c:cat>
          <c:val>
            <c:numRef>
              <c:f>'Overview'!$C$23:$C$82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2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Latest year-on-year price change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YoY</c:v>
          </c:tx>
          <c:spPr>
            <a:solidFill xmlns:a="http://schemas.openxmlformats.org/drawingml/2006/main">
              <a:srgbClr val="2478B5"/>
            </a:solidFill>
          </c:spPr>
          <c:invertIfNegative val="0"/>
          <c:cat>
            <c:strRef>
              <c:f>'Overview'!$A$7:$A$14</c:f>
              <c:strCache>
                <c:ptCount val="0"/>
              </c:strCache>
            </c:strRef>
          </c:cat>
          <c:val>
            <c:numRef>
              <c:f>'Overview'!$D$7:$D$14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30e840b78543fa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ff9190f56e4c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ceHistory" displayName="PriceHistory" ref="A1:I322" headerRowCount="1" totalsRowCount="0" totalsRowShown="0">
  <x:tableColumns count="9">
    <x:tableColumn id="1" name="Month"/>
    <x:tableColumn id="2" name="Cocoa"/>
    <x:tableColumn id="3" name="Maize"/>
    <x:tableColumn id="4" name="Palm oil"/>
    <x:tableColumn id="5" name="Rice"/>
    <x:tableColumn id="6" name="Soybean oil"/>
    <x:tableColumn id="7" name="Soybeans"/>
    <x:tableColumn id="8" name="Sugar"/>
    <x:tableColumn id="9" name="Wh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8a84d36b9045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3ff92deaa034e75" /></Relationships>
</file>

<file path=xl/worksheets/sheet1.xml><?xml version="1.0" encoding="utf-8"?>
<x:worksheet xmlns:x="http://schemas.openxmlformats.org/spreadsheetml/2006/main">
  <x:sheetPr>
    <x:tabColor rgb="FF142B46"/>
  </x:sheetPr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3" customHeight="1">
      <x:c r="A2" s="2" t="str">
        <x:v>FOODSHOCK: global food price pressure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 ht="23" customHeight="1">
      <x:c r="A3" s="3" t="str">
        <x:v>World Bank benchmarks · 2026-09 · nominal USD per metric ton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30" customHeight="1">
      <x:c r="A6" s="7" t="str">
        <x:v>Commodity</x:v>
      </x:c>
      <x:c r="B6" s="7" t="str">
        <x:v>Latest USD/mt</x:v>
      </x:c>
      <x:c r="C6" s="7" t="str">
        <x:v>MoM</x:v>
      </x:c>
      <x:c r="D6" s="7" t="str">
        <x:v>YoY</x:v>
      </x:c>
      <x:c r="E6" s="7" t="str">
        <x:v>2020 = 100</x:v>
      </x:c>
      <x:c r="F6" s="7" t="str">
        <x:v>Next forecast</x:v>
      </x:c>
      <x:c r="G6" s="7" t="str">
        <x:v>Test MAPE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 ht="23" customHeight="1">
      <x:c r="A7" s="1" t="str">
        <x:v>Cocoa</x:v>
      </x:c>
      <x:c r="B7" s="9" t="n">
        <x:f>'History'!B322</x:f>
        <x:v>5920</x:v>
      </x:c>
      <x:c r="C7" s="11" t="n">
        <x:f>B7/'History'!B321-1</x:f>
        <x:v>-0.005042016806722671</x:v>
      </x:c>
      <x:c r="D7" s="11" t="n">
        <x:f>B7/'History'!B310-1</x:f>
        <x:v>-0.1578947368421053</x:v>
      </x:c>
      <x:c r="E7" s="9" t="n">
        <x:f>100*B7/AVERAGEIFS('History'!B$2:B$322,'History'!$A$2:$A$322,"&gt;="&amp;DATE(2020,1,1),'History'!$A$2:$A$322,"&lt;"&amp;DATE(2021,1,1))</x:f>
        <x:v>249.701230228471</x:v>
      </x:c>
      <x:c r="F7" s="9" t="n">
        <x:f>'Forecasts'!H2</x:f>
        <x:v>5920</x:v>
      </x:c>
      <x:c r="G7" s="11" t="n">
        <x:f>'Forecasts'!F2</x:f>
        <x:v>0.111476333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 ht="23" customHeight="1">
      <x:c r="A8" s="1" t="str">
        <x:v>Maize</x:v>
      </x:c>
      <x:c r="B8" s="9" t="n">
        <x:f>'History'!C322</x:f>
        <x:v>239.6</x:v>
      </x:c>
      <x:c r="C8" s="11" t="n">
        <x:f>B8/'History'!C321-1</x:f>
        <x:v>0.06964285714285712</x:v>
      </x:c>
      <x:c r="D8" s="11" t="n">
        <x:f>B8/'History'!C310-1</x:f>
        <x:v>0.21377912867274573</x:v>
      </x:c>
      <x:c r="E8" s="9" t="n">
        <x:f>100*B8/AVERAGEIFS('History'!C$2:C$322,'History'!$A$2:$A$322,"&gt;="&amp;DATE(2020,1,1),'History'!$A$2:$A$322,"&lt;"&amp;DATE(2021,1,1))</x:f>
        <x:v>144.80257856567283</x:v>
      </x:c>
      <x:c r="F8" s="9" t="n">
        <x:f>'Forecasts'!H7</x:f>
        <x:v>231.9486690091</x:v>
      </x:c>
      <x:c r="G8" s="11" t="n">
        <x:f>'Forecasts'!F7</x:f>
        <x:v>0.0427037804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 ht="23" customHeight="1">
      <x:c r="A9" s="1" t="str">
        <x:v>Palm oil</x:v>
      </x:c>
      <x:c r="B9" s="9" t="n">
        <x:f>'History'!D322</x:f>
        <x:v>1180</x:v>
      </x:c>
      <x:c r="C9" s="11" t="n">
        <x:f>B9/'History'!D321-1</x:f>
        <x:v>0.042402826855123754</x:v>
      </x:c>
      <x:c r="D9" s="11" t="n">
        <x:f>B9/'History'!D310-1</x:f>
        <x:v>0.1378977820636451</x:v>
      </x:c>
      <x:c r="E9" s="9" t="n">
        <x:f>100*B9/AVERAGEIFS('History'!D$2:D$322,'History'!$A$2:$A$322,"&gt;="&amp;DATE(2020,1,1),'History'!$A$2:$A$322,"&lt;"&amp;DATE(2021,1,1))</x:f>
        <x:v>156.98447893569846</x:v>
      </x:c>
      <x:c r="F9" s="9" t="n">
        <x:f>'Forecasts'!H8</x:f>
        <x:v>1180</x:v>
      </x:c>
      <x:c r="G9" s="11" t="n">
        <x:f>'Forecasts'!F8</x:f>
        <x:v>0.0384546389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 ht="23" customHeight="1">
      <x:c r="A10" s="1" t="str">
        <x:v>Rice</x:v>
      </x:c>
      <x:c r="B10" s="9" t="n">
        <x:f>'History'!E322</x:f>
        <x:v>482</x:v>
      </x:c>
      <x:c r="C10" s="11" t="n">
        <x:f>B10/'History'!E321-1</x:f>
        <x:v>0.023354564755838636</x:v>
      </x:c>
      <x:c r="D10" s="11" t="n">
        <x:f>B10/'History'!E310-1</x:f>
        <x:v>0.2887700534759359</x:v>
      </x:c>
      <x:c r="E10" s="9" t="n">
        <x:f>100*B10/AVERAGEIFS('History'!E$2:E$322,'History'!$A$2:$A$322,"&gt;="&amp;DATE(2020,1,1),'History'!$A$2:$A$322,"&lt;"&amp;DATE(2021,1,1))</x:f>
        <x:v>97.03069954705586</x:v>
      </x:c>
      <x:c r="F10" s="9" t="n">
        <x:f>'Forecasts'!H11</x:f>
        <x:v>482</x:v>
      </x:c>
      <x:c r="G10" s="11" t="n">
        <x:f>'Forecasts'!F11</x:f>
        <x:v>0.052634729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 ht="23" customHeight="1">
      <x:c r="A11" s="1" t="str">
        <x:v>Soybean oil</x:v>
      </x:c>
      <x:c r="B11" s="9" t="n">
        <x:f>'History'!F322</x:f>
        <x:v>1615</x:v>
      </x:c>
      <x:c r="C11" s="11" t="n">
        <x:f>B11/'History'!F321-1</x:f>
        <x:v>-0.014643075045759568</x:v>
      </x:c>
      <x:c r="D11" s="11" t="n">
        <x:f>B11/'History'!F310-1</x:f>
        <x:v>0.39344262295081966</x:v>
      </x:c>
      <x:c r="E11" s="9" t="n">
        <x:f>100*B11/AVERAGEIFS('History'!F$2:F$322,'History'!$A$2:$A$322,"&gt;="&amp;DATE(2020,1,1),'History'!$A$2:$A$322,"&lt;"&amp;DATE(2021,1,1))</x:f>
        <x:v>192.75910085538092</x:v>
      </x:c>
      <x:c r="F11" s="9" t="n">
        <x:f>'Forecasts'!H14</x:f>
        <x:v>1615</x:v>
      </x:c>
      <x:c r="G11" s="11" t="n">
        <x:f>'Forecasts'!F14</x:f>
        <x:v>0.0503701891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 ht="23" customHeight="1">
      <x:c r="A12" s="1" t="str">
        <x:v>Soybeans</x:v>
      </x:c>
      <x:c r="B12" s="9" t="n">
        <x:f>'History'!G322</x:f>
        <x:v>524</x:v>
      </x:c>
      <x:c r="C12" s="11" t="n">
        <x:f>B12/'History'!G321-1</x:f>
        <x:v>0.08713692946058083</x:v>
      </x:c>
      <x:c r="D12" s="11" t="n">
        <x:f>B12/'History'!G310-1</x:f>
        <x:v>0.29702970297029707</x:v>
      </x:c>
      <x:c r="E12" s="9" t="n">
        <x:f>100*B12/AVERAGEIFS('History'!G$2:G$322,'History'!$A$2:$A$322,"&gt;="&amp;DATE(2020,1,1),'History'!$A$2:$A$322,"&lt;"&amp;DATE(2021,1,1))</x:f>
        <x:v>128.85245901639342</x:v>
      </x:c>
      <x:c r="F12" s="9" t="n">
        <x:f>'Forecasts'!H19</x:f>
        <x:v>508.0988115485</x:v>
      </x:c>
      <x:c r="G12" s="11" t="n">
        <x:f>'Forecasts'!F19</x:f>
        <x:v>0.0300348725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 ht="23" customHeight="1">
      <x:c r="A13" s="1" t="str">
        <x:v>Sugar</x:v>
      </x:c>
      <x:c r="B13" s="9" t="n">
        <x:f>'History'!H322</x:f>
        <x:v>410</x:v>
      </x:c>
      <x:c r="C13" s="11" t="n">
        <x:f>B13/'History'!H321-1</x:f>
        <x:v>0.07894736842105265</x:v>
      </x:c>
      <x:c r="D13" s="11" t="n">
        <x:f>B13/'History'!H310-1</x:f>
        <x:v>0.17142857142857149</x:v>
      </x:c>
      <x:c r="E13" s="9" t="n">
        <x:f>100*B13/AVERAGEIFS('History'!H$2:H$322,'History'!$A$2:$A$322,"&gt;="&amp;DATE(2020,1,1),'History'!$A$2:$A$322,"&lt;"&amp;DATE(2021,1,1))</x:f>
        <x:v>144.7058823529412</x:v>
      </x:c>
      <x:c r="F13" s="9" t="n">
        <x:f>'Forecasts'!H20</x:f>
        <x:v>410</x:v>
      </x:c>
      <x:c r="G13" s="11" t="n">
        <x:f>'Forecasts'!F20</x:f>
        <x:v>0.040656352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 ht="23" customHeight="1">
      <x:c r="A14" s="1" t="str">
        <x:v>Wheat</x:v>
      </x:c>
      <x:c r="B14" s="9" t="n">
        <x:f>'History'!I322</x:f>
        <x:v>347</x:v>
      </x:c>
      <x:c r="C14" s="11" t="n">
        <x:f>B14/'History'!I321-1</x:f>
        <x:v>0.051515151515151514</x:v>
      </x:c>
      <x:c r="D14" s="11" t="n">
        <x:f>B14/'History'!I310-1</x:f>
        <x:v>0.4841745081266038</x:v>
      </x:c>
      <x:c r="E14" s="9" t="n">
        <x:f>100*B14/AVERAGEIFS('History'!I$2:I$322,'History'!$A$2:$A$322,"&gt;="&amp;DATE(2020,1,1),'History'!$A$2:$A$322,"&lt;"&amp;DATE(2021,1,1))</x:f>
        <x:v>149.8434632408507</x:v>
      </x:c>
      <x:c r="F14" s="9" t="n">
        <x:f>'Forecasts'!H25</x:f>
        <x:v>336.2338721997</x:v>
      </x:c>
      <x:c r="G14" s="11" t="n">
        <x:f>'Forecasts'!F25</x:f>
        <x:v>0.040945514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 ht="23" customHeight="1">
      <x:c r="A17" s="12" t="str">
        <x:v>Decision: use the budget model to test exposure before changing procurement.</x:v>
      </x:c>
      <x:c r="B17" s="12"/>
      <x:c r="C17" s="12"/>
      <x:c r="D17" s="12"/>
      <x:c r="E17" s="12"/>
      <x:c r="F17" s="12"/>
      <x:c r="G17" s="12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 ht="23" customHeight="1">
      <x:c r="A18" s="12" t="str">
        <x:v>Forecasts are Python output snapshots. Re-run the pipeline to refit models.</x:v>
      </x:c>
      <x:c r="B18" s="12"/>
      <x:c r="C18" s="12"/>
      <x:c r="D18" s="12"/>
      <x:c r="E18" s="12"/>
      <x:c r="F18" s="12"/>
      <x:c r="G18" s="12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3" customHeight="1">
      <x:c r="A19" s="12" t="str">
        <x:v>Benchmark prices do not measure local retail inflation or company purchase costs.</x:v>
      </x:c>
      <x:c r="B19" s="12"/>
      <x:c r="C19" s="12"/>
      <x:c r="D19" s="12"/>
      <x:c r="E19" s="12"/>
      <x:c r="F19" s="12"/>
      <x:c r="G19" s="12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 ht="30" customHeight="1">
      <x:c r="A22" s="7" t="str">
        <x:v>Month</x:v>
      </x:c>
      <x:c r="B22" s="7" t="str">
        <x:v>Wheat USD/mt</x:v>
      </x:c>
      <x:c r="C22" s="7" t="str">
        <x:v>Wheat 2020=100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 ht="23" customHeight="1">
      <x:c r="A23" s="1" t="str">
        <x:f>TEXT('History'!A263,"mmm yyyy")</x:f>
        <x:v>Oct 2021</x:v>
      </x:c>
      <x:c r="B23" s="9" t="n">
        <x:f>'History'!I263</x:f>
        <x:v>354.7</x:v>
      </x:c>
      <x:c r="C23" s="9" t="n">
        <x:f>100*B23/AVERAGEIFS('History'!I$2:I$322,'History'!$A$2:$A$322,"&gt;="&amp;DATE(2020,1,1),'History'!$A$2:$A$322,"&lt;"&amp;DATE(2021,1,1))</x:f>
        <x:v>153.16851991795315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 ht="23" customHeight="1">
      <x:c r="A24" s="1" t="str">
        <x:f>TEXT('History'!A264,"mmm yyyy")</x:f>
        <x:v>Nov 2021</x:v>
      </x:c>
      <x:c r="B24" s="9" t="n">
        <x:f>'History'!I264</x:f>
        <x:v>379.5</x:v>
      </x:c>
      <x:c r="C24" s="9" t="n">
        <x:f>100*B24/AVERAGEIFS('History'!I$2:I$322,'History'!$A$2:$A$322,"&gt;="&amp;DATE(2020,1,1),'History'!$A$2:$A$322,"&lt;"&amp;DATE(2021,1,1))</x:f>
        <x:v>163.8777933714779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 ht="23" customHeight="1">
      <x:c r="A25" s="1" t="str">
        <x:f>TEXT('History'!A265,"mmm yyyy")</x:f>
        <x:v>Dec 2021</x:v>
      </x:c>
      <x:c r="B25" s="9" t="n">
        <x:f>'History'!I265</x:f>
        <x:v>376.8</x:v>
      </x:c>
      <x:c r="C25" s="9" t="n">
        <x:f>100*B25/AVERAGEIFS('History'!I$2:I$322,'History'!$A$2:$A$322,"&gt;="&amp;DATE(2020,1,1),'History'!$A$2:$A$322,"&lt;"&amp;DATE(2021,1,1))</x:f>
        <x:v>162.71186440677965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 ht="23" customHeight="1">
      <x:c r="A26" s="1" t="str">
        <x:f>TEXT('History'!A266,"mmm yyyy")</x:f>
        <x:v>Jan 2022</x:v>
      </x:c>
      <x:c r="B26" s="9" t="n">
        <x:f>'History'!I266</x:f>
        <x:v>374.2</x:v>
      </x:c>
      <x:c r="C26" s="9" t="n">
        <x:f>100*B26/AVERAGEIFS('History'!I$2:I$322,'History'!$A$2:$A$322,"&gt;="&amp;DATE(2020,1,1),'History'!$A$2:$A$322,"&lt;"&amp;DATE(2021,1,1))</x:f>
        <x:v>161.58911799632946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 ht="23" customHeight="1">
      <x:c r="A27" s="1" t="str">
        <x:f>TEXT('History'!A267,"mmm yyyy")</x:f>
        <x:v>Feb 2022</x:v>
      </x:c>
      <x:c r="B27" s="9" t="n">
        <x:f>'History'!I267</x:f>
        <x:v>390.5</x:v>
      </x:c>
      <x:c r="C27" s="9" t="n">
        <x:f>100*B27/AVERAGEIFS('History'!I$2:I$322,'History'!$A$2:$A$322,"&gt;="&amp;DATE(2020,1,1),'History'!$A$2:$A$322,"&lt;"&amp;DATE(2021,1,1))</x:f>
        <x:v>168.62787433876713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 ht="23" customHeight="1">
      <x:c r="A28" s="1" t="str">
        <x:f>TEXT('History'!A268,"mmm yyyy")</x:f>
        <x:v>Mar 2022</x:v>
      </x:c>
      <x:c r="B28" s="9" t="n">
        <x:f>'History'!I268</x:f>
        <x:v>486.3</x:v>
      </x:c>
      <x:c r="C28" s="9" t="n">
        <x:f>100*B28/AVERAGEIFS('History'!I$2:I$322,'History'!$A$2:$A$322,"&gt;="&amp;DATE(2020,1,1),'History'!$A$2:$A$322,"&lt;"&amp;DATE(2021,1,1))</x:f>
        <x:v>209.9967613084314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 ht="23" customHeight="1">
      <x:c r="A29" s="1" t="str">
        <x:f>TEXT('History'!A269,"mmm yyyy")</x:f>
        <x:v>Apr 2022</x:v>
      </x:c>
      <x:c r="B29" s="9" t="n">
        <x:f>'History'!I269</x:f>
        <x:v>495.3</x:v>
      </x:c>
      <x:c r="C29" s="9" t="n">
        <x:f>100*B29/AVERAGEIFS('History'!I$2:I$322,'History'!$A$2:$A$322,"&gt;="&amp;DATE(2020,1,1),'History'!$A$2:$A$322,"&lt;"&amp;DATE(2021,1,1))</x:f>
        <x:v>213.8831911907589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 ht="23" customHeight="1">
      <x:c r="A30" s="1" t="str">
        <x:f>TEXT('History'!A270,"mmm yyyy")</x:f>
        <x:v>May 2022</x:v>
      </x:c>
      <x:c r="B30" s="9" t="n">
        <x:f>'History'!I270</x:f>
        <x:v>522.3</x:v>
      </x:c>
      <x:c r="C30" s="9" t="n">
        <x:f>100*B30/AVERAGEIFS('History'!I$2:I$322,'History'!$A$2:$A$322,"&gt;="&amp;DATE(2020,1,1),'History'!$A$2:$A$322,"&lt;"&amp;DATE(2021,1,1))</x:f>
        <x:v>225.5424808377415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 ht="23" customHeight="1">
      <x:c r="A31" s="1" t="str">
        <x:f>TEXT('History'!A271,"mmm yyyy")</x:f>
        <x:v>Jun 2022</x:v>
      </x:c>
      <x:c r="B31" s="9" t="n">
        <x:f>'History'!I271</x:f>
        <x:v>459.6</x:v>
      </x:c>
      <x:c r="C31" s="9" t="n">
        <x:f>100*B31/AVERAGEIFS('History'!I$2:I$322,'History'!$A$2:$A$322,"&gt;="&amp;DATE(2020,1,1),'History'!$A$2:$A$322,"&lt;"&amp;DATE(2021,1,1))</x:f>
        <x:v>198.46701932419302</x:v>
      </x:c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3" customHeight="1">
      <x:c r="A32" s="1" t="str">
        <x:f>TEXT('History'!A272,"mmm yyyy")</x:f>
        <x:v>Jul 2022</x:v>
      </x:c>
      <x:c r="B32" s="9" t="n">
        <x:f>'History'!I272</x:f>
        <x:v>382.5</x:v>
      </x:c>
      <x:c r="C32" s="9" t="n">
        <x:f>100*B32/AVERAGEIFS('History'!I$2:I$322,'History'!$A$2:$A$322,"&gt;="&amp;DATE(2020,1,1),'History'!$A$2:$A$322,"&lt;"&amp;DATE(2021,1,1))</x:f>
        <x:v>165.17326999892043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 ht="23" customHeight="1">
      <x:c r="A33" s="1" t="str">
        <x:f>TEXT('History'!A273,"mmm yyyy")</x:f>
        <x:v>Aug 2022</x:v>
      </x:c>
      <x:c r="B33" s="9" t="n">
        <x:f>'History'!I273</x:f>
        <x:v>382.9</x:v>
      </x:c>
      <x:c r="C33" s="9" t="n">
        <x:f>100*B33/AVERAGEIFS('History'!I$2:I$322,'History'!$A$2:$A$322,"&gt;="&amp;DATE(2020,1,1),'History'!$A$2:$A$322,"&lt;"&amp;DATE(2021,1,1))</x:f>
        <x:v>165.34600021591277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 ht="23" customHeight="1">
      <x:c r="A34" s="1" t="str">
        <x:f>TEXT('History'!A274,"mmm yyyy")</x:f>
        <x:v>Sep 2022</x:v>
      </x:c>
      <x:c r="B34" s="9" t="n">
        <x:f>'History'!I274</x:f>
        <x:v>419.1</x:v>
      </x:c>
      <x:c r="C34" s="9" t="n">
        <x:f>100*B34/AVERAGEIFS('History'!I$2:I$322,'History'!$A$2:$A$322,"&gt;="&amp;DATE(2020,1,1),'History'!$A$2:$A$322,"&lt;"&amp;DATE(2021,1,1))</x:f>
        <x:v>180.97808485371908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 ht="23" customHeight="1">
      <x:c r="A35" s="1" t="str">
        <x:f>TEXT('History'!A275,"mmm yyyy")</x:f>
        <x:v>Oct 2022</x:v>
      </x:c>
      <x:c r="B35" s="9" t="n">
        <x:f>'History'!I275</x:f>
        <x:v>438</x:v>
      </x:c>
      <x:c r="C35" s="9" t="n">
        <x:f>100*B35/AVERAGEIFS('History'!I$2:I$322,'History'!$A$2:$A$322,"&gt;="&amp;DATE(2020,1,1),'History'!$A$2:$A$322,"&lt;"&amp;DATE(2021,1,1))</x:f>
        <x:v>189.1395876066069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 ht="23" customHeight="1">
      <x:c r="A36" s="1" t="str">
        <x:f>TEXT('History'!A276,"mmm yyyy")</x:f>
        <x:v>Nov 2022</x:v>
      </x:c>
      <x:c r="B36" s="9" t="n">
        <x:f>'History'!I276</x:f>
        <x:v>422.7</x:v>
      </x:c>
      <x:c r="C36" s="9" t="n">
        <x:f>100*B36/AVERAGEIFS('History'!I$2:I$322,'History'!$A$2:$A$322,"&gt;="&amp;DATE(2020,1,1),'History'!$A$2:$A$322,"&lt;"&amp;DATE(2021,1,1))</x:f>
        <x:v>182.5326568066501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 ht="23" customHeight="1">
      <x:c r="A37" s="1" t="str">
        <x:f>TEXT('History'!A277,"mmm yyyy")</x:f>
        <x:v>Dec 2022</x:v>
      </x:c>
      <x:c r="B37" s="9" t="n">
        <x:f>'History'!I277</x:f>
        <x:v>386.3</x:v>
      </x:c>
      <x:c r="C37" s="9" t="n">
        <x:f>100*B37/AVERAGEIFS('History'!I$2:I$322,'History'!$A$2:$A$322,"&gt;="&amp;DATE(2020,1,1),'History'!$A$2:$A$322,"&lt;"&amp;DATE(2021,1,1))</x:f>
        <x:v>166.8142070603476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 ht="23" customHeight="1">
      <x:c r="A38" s="1" t="str">
        <x:f>TEXT('History'!A278,"mmm yyyy")</x:f>
        <x:v>Jan 2023</x:v>
      </x:c>
      <x:c r="B38" s="9" t="n">
        <x:f>'History'!I278</x:f>
        <x:v>380.4</x:v>
      </x:c>
      <x:c r="C38" s="9" t="n">
        <x:f>100*B38/AVERAGEIFS('History'!I$2:I$322,'History'!$A$2:$A$322,"&gt;="&amp;DATE(2020,1,1),'History'!$A$2:$A$322,"&lt;"&amp;DATE(2021,1,1))</x:f>
        <x:v>164.26643635971067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 ht="23" customHeight="1">
      <x:c r="A39" s="1" t="str">
        <x:f>TEXT('History'!A279,"mmm yyyy")</x:f>
        <x:v>Feb 2023</x:v>
      </x:c>
      <x:c r="B39" s="9" t="n">
        <x:f>'History'!I279</x:f>
        <x:v>394.8</x:v>
      </x:c>
      <x:c r="C39" s="9" t="n">
        <x:f>100*B39/AVERAGEIFS('History'!I$2:I$322,'History'!$A$2:$A$322,"&gt;="&amp;DATE(2020,1,1),'History'!$A$2:$A$322,"&lt;"&amp;DATE(2021,1,1))</x:f>
        <x:v>170.48472417143472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 ht="23" customHeight="1">
      <x:c r="A40" s="1" t="str">
        <x:f>TEXT('History'!A280,"mmm yyyy")</x:f>
        <x:v>Mar 2023</x:v>
      </x:c>
      <x:c r="B40" s="9" t="n">
        <x:f>'History'!I280</x:f>
        <x:v>369.9</x:v>
      </x:c>
      <x:c r="C40" s="9" t="n">
        <x:f>100*B40/AVERAGEIFS('History'!I$2:I$322,'History'!$A$2:$A$322,"&gt;="&amp;DATE(2020,1,1),'History'!$A$2:$A$322,"&lt;"&amp;DATE(2021,1,1))</x:f>
        <x:v>159.73226816366187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 ht="23" customHeight="1">
      <x:c r="A41" s="1" t="str">
        <x:f>TEXT('History'!A281,"mmm yyyy")</x:f>
        <x:v>Apr 2023</x:v>
      </x:c>
      <x:c r="B41" s="9" t="n">
        <x:f>'History'!I281</x:f>
        <x:v>378.2</x:v>
      </x:c>
      <x:c r="C41" s="9" t="n">
        <x:f>100*B41/AVERAGEIFS('History'!I$2:I$322,'History'!$A$2:$A$322,"&gt;="&amp;DATE(2020,1,1),'History'!$A$2:$A$322,"&lt;"&amp;DATE(2021,1,1))</x:f>
        <x:v>163.3164201662528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 ht="23" customHeight="1">
      <x:c r="A42" s="1" t="str">
        <x:f>TEXT('History'!A282,"mmm yyyy")</x:f>
        <x:v>May 2023</x:v>
      </x:c>
      <x:c r="B42" s="9" t="n">
        <x:f>'History'!I282</x:f>
        <x:v>367.7</x:v>
      </x:c>
      <x:c r="C42" s="9" t="n">
        <x:f>100*B42/AVERAGEIFS('History'!I$2:I$322,'History'!$A$2:$A$322,"&gt;="&amp;DATE(2020,1,1),'History'!$A$2:$A$322,"&lt;"&amp;DATE(2021,1,1))</x:f>
        <x:v>158.78225197020402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 ht="23" customHeight="1">
      <x:c r="A43" s="1" t="str">
        <x:f>TEXT('History'!A283,"mmm yyyy")</x:f>
        <x:v>Jun 2023</x:v>
      </x:c>
      <x:c r="B43" s="9" t="n">
        <x:f>'History'!I283</x:f>
        <x:v>345.5</x:v>
      </x:c>
      <x:c r="C43" s="9" t="n">
        <x:f>100*B43/AVERAGEIFS('History'!I$2:I$322,'History'!$A$2:$A$322,"&gt;="&amp;DATE(2020,1,1),'History'!$A$2:$A$322,"&lt;"&amp;DATE(2021,1,1))</x:f>
        <x:v>149.19572492712942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 ht="23" customHeight="1">
      <x:c r="A44" s="1" t="str">
        <x:f>TEXT('History'!A284,"mmm yyyy")</x:f>
        <x:v>Jul 2023</x:v>
      </x:c>
      <x:c r="B44" s="9" t="n">
        <x:f>'History'!I284</x:f>
        <x:v>345.5</x:v>
      </x:c>
      <x:c r="C44" s="9" t="n">
        <x:f>100*B44/AVERAGEIFS('History'!I$2:I$322,'History'!$A$2:$A$322,"&gt;="&amp;DATE(2020,1,1),'History'!$A$2:$A$322,"&lt;"&amp;DATE(2021,1,1))</x:f>
        <x:v>149.19572492712942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3" customHeight="1">
      <x:c r="A45" s="1" t="str">
        <x:f>TEXT('History'!A285,"mmm yyyy")</x:f>
        <x:v>Aug 2023</x:v>
      </x:c>
      <x:c r="B45" s="9" t="n">
        <x:f>'History'!I285</x:f>
        <x:v>315.8</x:v>
      </x:c>
      <x:c r="C45" s="9" t="n">
        <x:f>100*B45/AVERAGEIFS('History'!I$2:I$322,'History'!$A$2:$A$322,"&gt;="&amp;DATE(2020,1,1),'History'!$A$2:$A$322,"&lt;"&amp;DATE(2021,1,1))</x:f>
        <x:v>136.37050631544855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 ht="23" customHeight="1">
      <x:c r="A46" s="1" t="str">
        <x:f>TEXT('History'!A286,"mmm yyyy")</x:f>
        <x:v>Sep 2023</x:v>
      </x:c>
      <x:c r="B46" s="9" t="n">
        <x:f>'History'!I286</x:f>
        <x:v>314.7</x:v>
      </x:c>
      <x:c r="C46" s="9" t="n">
        <x:f>100*B46/AVERAGEIFS('History'!I$2:I$322,'History'!$A$2:$A$322,"&gt;="&amp;DATE(2020,1,1),'History'!$A$2:$A$322,"&lt;"&amp;DATE(2021,1,1))</x:f>
        <x:v>135.89549821871964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 ht="23" customHeight="1">
      <x:c r="A47" s="1" t="str">
        <x:f>TEXT('History'!A287,"mmm yyyy")</x:f>
        <x:v>Oct 2023</x:v>
      </x:c>
      <x:c r="B47" s="9" t="n">
        <x:f>'History'!I287</x:f>
        <x:v>298.1</x:v>
      </x:c>
      <x:c r="C47" s="9" t="n">
        <x:f>100*B47/AVERAGEIFS('History'!I$2:I$322,'History'!$A$2:$A$322,"&gt;="&amp;DATE(2020,1,1),'History'!$A$2:$A$322,"&lt;"&amp;DATE(2021,1,1))</x:f>
        <x:v>128.72719421353773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 ht="23" customHeight="1">
      <x:c r="A48" s="1" t="str">
        <x:f>TEXT('History'!A288,"mmm yyyy")</x:f>
        <x:v>Nov 2023</x:v>
      </x:c>
      <x:c r="B48" s="9" t="n">
        <x:f>'History'!I288</x:f>
        <x:v>283.6</x:v>
      </x:c>
      <x:c r="C48" s="9" t="n">
        <x:f>100*B48/AVERAGEIFS('History'!I$2:I$322,'History'!$A$2:$A$322,"&gt;="&amp;DATE(2020,1,1),'History'!$A$2:$A$322,"&lt;"&amp;DATE(2021,1,1))</x:f>
        <x:v>122.46572384756558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 ht="23" customHeight="1">
      <x:c r="A49" s="1" t="str">
        <x:f>TEXT('History'!A289,"mmm yyyy")</x:f>
        <x:v>Dec 2023</x:v>
      </x:c>
      <x:c r="B49" s="9" t="n">
        <x:f>'History'!I289</x:f>
        <x:v>291.1</x:v>
      </x:c>
      <x:c r="C49" s="9" t="n">
        <x:f>100*B49/AVERAGEIFS('History'!I$2:I$322,'History'!$A$2:$A$322,"&gt;="&amp;DATE(2020,1,1),'History'!$A$2:$A$322,"&lt;"&amp;DATE(2021,1,1))</x:f>
        <x:v>125.70441541617187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 ht="23" customHeight="1">
      <x:c r="A50" s="1" t="str">
        <x:f>TEXT('History'!A290,"mmm yyyy")</x:f>
        <x:v>Jan 2024</x:v>
      </x:c>
      <x:c r="B50" s="9" t="n">
        <x:f>'History'!I290</x:f>
        <x:v>283.9</x:v>
      </x:c>
      <x:c r="C50" s="9" t="n">
        <x:f>100*B50/AVERAGEIFS('History'!I$2:I$322,'History'!$A$2:$A$322,"&gt;="&amp;DATE(2020,1,1),'History'!$A$2:$A$322,"&lt;"&amp;DATE(2021,1,1))</x:f>
        <x:v>122.59527151030981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 ht="23" customHeight="1">
      <x:c r="A51" s="1" t="str">
        <x:f>TEXT('History'!A291,"mmm yyyy")</x:f>
        <x:v>Feb 2024</x:v>
      </x:c>
      <x:c r="B51" s="9" t="n">
        <x:f>'History'!I291</x:f>
        <x:v>278.5</x:v>
      </x:c>
      <x:c r="C51" s="9" t="n">
        <x:f>100*B51/AVERAGEIFS('History'!I$2:I$322,'History'!$A$2:$A$322,"&gt;="&amp;DATE(2020,1,1),'History'!$A$2:$A$322,"&lt;"&amp;DATE(2021,1,1))</x:f>
        <x:v>120.26341358091331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 ht="23" customHeight="1">
      <x:c r="A52" s="1" t="str">
        <x:f>TEXT('History'!A292,"mmm yyyy")</x:f>
        <x:v>Mar 2024</x:v>
      </x:c>
      <x:c r="B52" s="9" t="n">
        <x:f>'History'!I292</x:f>
        <x:v>274.8</x:v>
      </x:c>
      <x:c r="C52" s="9" t="n">
        <x:f>100*B52/AVERAGEIFS('History'!I$2:I$322,'History'!$A$2:$A$322,"&gt;="&amp;DATE(2020,1,1),'History'!$A$2:$A$322,"&lt;"&amp;DATE(2021,1,1))</x:f>
        <x:v>118.6656590737342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 ht="23" customHeight="1">
      <x:c r="A53" s="1" t="str">
        <x:f>TEXT('History'!A293,"mmm yyyy")</x:f>
        <x:v>Apr 2024</x:v>
      </x:c>
      <x:c r="B53" s="9" t="n">
        <x:f>'History'!I293</x:f>
        <x:v>272.3</x:v>
      </x:c>
      <x:c r="C53" s="9" t="n">
        <x:f>100*B53/AVERAGEIFS('History'!I$2:I$322,'History'!$A$2:$A$322,"&gt;="&amp;DATE(2020,1,1),'History'!$A$2:$A$322,"&lt;"&amp;DATE(2021,1,1))</x:f>
        <x:v>117.5860952175321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 ht="23" customHeight="1">
      <x:c r="A54" s="1" t="str">
        <x:f>TEXT('History'!A294,"mmm yyyy")</x:f>
        <x:v>May 2024</x:v>
      </x:c>
      <x:c r="B54" s="9" t="n">
        <x:f>'History'!I294</x:f>
        <x:v>289.4</x:v>
      </x:c>
      <x:c r="C54" s="9" t="n">
        <x:f>100*B54/AVERAGEIFS('History'!I$2:I$322,'History'!$A$2:$A$322,"&gt;="&amp;DATE(2020,1,1),'History'!$A$2:$A$322,"&lt;"&amp;DATE(2021,1,1))</x:f>
        <x:v>124.97031199395441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 ht="23" customHeight="1">
      <x:c r="A55" s="1" t="str">
        <x:f>TEXT('History'!A295,"mmm yyyy")</x:f>
        <x:v>Jun 2024</x:v>
      </x:c>
      <x:c r="B55" s="9" t="n">
        <x:f>'History'!I295</x:f>
        <x:v>265.6</x:v>
      </x:c>
      <x:c r="C55" s="9" t="n">
        <x:f>100*B55/AVERAGEIFS('History'!I$2:I$322,'History'!$A$2:$A$322,"&gt;="&amp;DATE(2020,1,1),'History'!$A$2:$A$322,"&lt;"&amp;DATE(2021,1,1))</x:f>
        <x:v>114.69286408291052</x:v>
      </x:c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 ht="23" customHeight="1">
      <x:c r="A56" s="1" t="str">
        <x:f>TEXT('History'!A296,"mmm yyyy")</x:f>
        <x:v>Jul 2024</x:v>
      </x:c>
      <x:c r="B56" s="9" t="n">
        <x:f>'History'!I296</x:f>
        <x:v>260.3</x:v>
      </x:c>
      <x:c r="C56" s="9" t="n">
        <x:f>100*B56/AVERAGEIFS('History'!I$2:I$322,'History'!$A$2:$A$322,"&gt;="&amp;DATE(2020,1,1),'History'!$A$2:$A$322,"&lt;"&amp;DATE(2021,1,1))</x:f>
        <x:v>112.40418870776206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 ht="23" customHeight="1">
      <x:c r="A57" s="1" t="str">
        <x:f>TEXT('History'!A297,"mmm yyyy")</x:f>
        <x:v>Aug 2024</x:v>
      </x:c>
      <x:c r="B57" s="9" t="n">
        <x:f>'History'!I297</x:f>
        <x:v>250.9</x:v>
      </x:c>
      <x:c r="C57" s="9" t="n">
        <x:f>100*B57/AVERAGEIFS('History'!I$2:I$322,'History'!$A$2:$A$322,"&gt;="&amp;DATE(2020,1,1),'History'!$A$2:$A$322,"&lt;"&amp;DATE(2021,1,1))</x:f>
        <x:v>108.34502860844218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3" customHeight="1">
      <x:c r="A58" s="1" t="str">
        <x:f>TEXT('History'!A298,"mmm yyyy")</x:f>
        <x:v>Sep 2024</x:v>
      </x:c>
      <x:c r="B58" s="9" t="n">
        <x:f>'History'!I298</x:f>
        <x:v>269.7</x:v>
      </x:c>
      <x:c r="C58" s="9" t="n">
        <x:f>100*B58/AVERAGEIFS('History'!I$2:I$322,'History'!$A$2:$A$322,"&gt;="&amp;DATE(2020,1,1),'History'!$A$2:$A$322,"&lt;"&amp;DATE(2021,1,1))</x:f>
        <x:v>116.46334880708193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 ht="23" customHeight="1">
      <x:c r="A59" s="1" t="str">
        <x:f>TEXT('History'!A299,"mmm yyyy")</x:f>
        <x:v>Oct 2024</x:v>
      </x:c>
      <x:c r="B59" s="9" t="n">
        <x:f>'History'!I299</x:f>
        <x:v>272.9</x:v>
      </x:c>
      <x:c r="C59" s="9" t="n">
        <x:f>100*B59/AVERAGEIFS('History'!I$2:I$322,'History'!$A$2:$A$322,"&gt;="&amp;DATE(2020,1,1),'History'!$A$2:$A$322,"&lt;"&amp;DATE(2021,1,1))</x:f>
        <x:v>117.84519054302059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 ht="23" customHeight="1">
      <x:c r="A60" s="1" t="str">
        <x:f>TEXT('History'!A300,"mmm yyyy")</x:f>
        <x:v>Nov 2024</x:v>
      </x:c>
      <x:c r="B60" s="9" t="n">
        <x:f>'History'!I300</x:f>
        <x:v>253.8</x:v>
      </x:c>
      <x:c r="C60" s="9" t="n">
        <x:f>100*B60/AVERAGEIFS('History'!I$2:I$322,'History'!$A$2:$A$322,"&gt;="&amp;DATE(2020,1,1),'History'!$A$2:$A$322,"&lt;"&amp;DATE(2021,1,1))</x:f>
        <x:v>109.59732268163661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 ht="23" customHeight="1">
      <x:c r="A61" s="1" t="str">
        <x:f>TEXT('History'!A301,"mmm yyyy")</x:f>
        <x:v>Dec 2024</x:v>
      </x:c>
      <x:c r="B61" s="9" t="n">
        <x:f>'History'!I301</x:f>
        <x:v>252.2</x:v>
      </x:c>
      <x:c r="C61" s="9" t="n">
        <x:f>100*B61/AVERAGEIFS('History'!I$2:I$322,'History'!$A$2:$A$322,"&gt;="&amp;DATE(2020,1,1),'History'!$A$2:$A$322,"&lt;"&amp;DATE(2021,1,1))</x:f>
        <x:v>108.90640181366727</x:v>
      </x:c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 ht="23" customHeight="1">
      <x:c r="A62" s="1" t="str">
        <x:f>TEXT('History'!A302,"mmm yyyy")</x:f>
        <x:v>Jan 2025</x:v>
      </x:c>
      <x:c r="B62" s="9" t="n">
        <x:f>'History'!I302</x:f>
        <x:v>254.1</x:v>
      </x:c>
      <x:c r="C62" s="9" t="n">
        <x:f>100*B62/AVERAGEIFS('History'!I$2:I$322,'History'!$A$2:$A$322,"&gt;="&amp;DATE(2020,1,1),'History'!$A$2:$A$322,"&lt;"&amp;DATE(2021,1,1))</x:f>
        <x:v>109.72687034438086</x:v>
      </x:c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 ht="23" customHeight="1">
      <x:c r="A63" s="1" t="str">
        <x:f>TEXT('History'!A303,"mmm yyyy")</x:f>
        <x:v>Feb 2025</x:v>
      </x:c>
      <x:c r="B63" s="9" t="n">
        <x:f>'History'!I303</x:f>
        <x:v>264.6</x:v>
      </x:c>
      <x:c r="C63" s="9" t="n">
        <x:f>100*B63/AVERAGEIFS('History'!I$2:I$322,'History'!$A$2:$A$322,"&gt;="&amp;DATE(2020,1,1),'History'!$A$2:$A$322,"&lt;"&amp;DATE(2021,1,1))</x:f>
        <x:v>114.26103854042968</x:v>
      </x:c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 ht="23" customHeight="1">
      <x:c r="A64" s="1" t="str">
        <x:f>TEXT('History'!A304,"mmm yyyy")</x:f>
        <x:v>Mar 2025</x:v>
      </x:c>
      <x:c r="B64" s="9" t="n">
        <x:f>'History'!I304</x:f>
        <x:v>255.4</x:v>
      </x:c>
      <x:c r="C64" s="9" t="n">
        <x:f>100*B64/AVERAGEIFS('History'!I$2:I$322,'History'!$A$2:$A$322,"&gt;="&amp;DATE(2020,1,1),'History'!$A$2:$A$322,"&lt;"&amp;DATE(2021,1,1))</x:f>
        <x:v>110.28824354960595</x:v>
      </x:c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 ht="23" customHeight="1">
      <x:c r="A65" s="1" t="str">
        <x:f>TEXT('History'!A305,"mmm yyyy")</x:f>
        <x:v>Apr 2025</x:v>
      </x:c>
      <x:c r="B65" s="9" t="n">
        <x:f>'History'!I305</x:f>
        <x:v>249.6</x:v>
      </x:c>
      <x:c r="C65" s="9" t="n">
        <x:f>100*B65/AVERAGEIFS('History'!I$2:I$322,'History'!$A$2:$A$322,"&gt;="&amp;DATE(2020,1,1),'History'!$A$2:$A$322,"&lt;"&amp;DATE(2021,1,1))</x:f>
        <x:v>107.7836554032171</x:v>
      </x:c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 ht="23" customHeight="1">
      <x:c r="A66" s="1" t="str">
        <x:f>TEXT('History'!A306,"mmm yyyy")</x:f>
        <x:v>May 2025</x:v>
      </x:c>
      <x:c r="B66" s="9" t="n">
        <x:f>'History'!I306</x:f>
        <x:v>237</x:v>
      </x:c>
      <x:c r="C66" s="9" t="n">
        <x:f>100*B66/AVERAGEIFS('History'!I$2:I$322,'History'!$A$2:$A$322,"&gt;="&amp;DATE(2020,1,1),'History'!$A$2:$A$322,"&lt;"&amp;DATE(2021,1,1))</x:f>
        <x:v>102.34265356795854</x:v>
      </x:c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 ht="23" customHeight="1">
      <x:c r="A67" s="1" t="str">
        <x:f>TEXT('History'!A307,"mmm yyyy")</x:f>
        <x:v>Jun 2025</x:v>
      </x:c>
      <x:c r="B67" s="9" t="n">
        <x:f>'History'!I307</x:f>
        <x:v>240.1</x:v>
      </x:c>
      <x:c r="C67" s="9" t="n">
        <x:f>100*B67/AVERAGEIFS('History'!I$2:I$322,'History'!$A$2:$A$322,"&gt;="&amp;DATE(2020,1,1),'History'!$A$2:$A$322,"&lt;"&amp;DATE(2021,1,1))</x:f>
        <x:v>103.68131274964914</x:v>
      </x:c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 ht="23" customHeight="1">
      <x:c r="A68" s="1" t="str">
        <x:f>TEXT('History'!A308,"mmm yyyy")</x:f>
        <x:v>Jul 2025</x:v>
      </x:c>
      <x:c r="B68" s="9" t="n">
        <x:f>'History'!I308</x:f>
        <x:v>235</x:v>
      </x:c>
      <x:c r="C68" s="9" t="n">
        <x:f>100*B68/AVERAGEIFS('History'!I$2:I$322,'History'!$A$2:$A$322,"&gt;="&amp;DATE(2020,1,1),'History'!$A$2:$A$322,"&lt;"&amp;DATE(2021,1,1))</x:f>
        <x:v>101.47900248299686</x:v>
      </x:c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 ht="23" customHeight="1">
      <x:c r="A69" s="1" t="str">
        <x:f>TEXT('History'!A309,"mmm yyyy")</x:f>
        <x:v>Aug 2025</x:v>
      </x:c>
      <x:c r="B69" s="9" t="n">
        <x:f>'History'!I309</x:f>
        <x:v>231.1</x:v>
      </x:c>
      <x:c r="C69" s="9" t="n">
        <x:f>100*B69/AVERAGEIFS('History'!I$2:I$322,'History'!$A$2:$A$322,"&gt;="&amp;DATE(2020,1,1),'History'!$A$2:$A$322,"&lt;"&amp;DATE(2021,1,1))</x:f>
        <x:v>99.79488286732159</x:v>
      </x:c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 ht="23" customHeight="1">
      <x:c r="A70" s="1" t="str">
        <x:f>TEXT('History'!A310,"mmm yyyy")</x:f>
        <x:v>Sep 2025</x:v>
      </x:c>
      <x:c r="B70" s="9" t="n">
        <x:f>'History'!I310</x:f>
        <x:v>233.8</x:v>
      </x:c>
      <x:c r="C70" s="9" t="n">
        <x:f>100*B70/AVERAGEIFS('History'!I$2:I$322,'History'!$A$2:$A$322,"&gt;="&amp;DATE(2020,1,1),'History'!$A$2:$A$322,"&lt;"&amp;DATE(2021,1,1))</x:f>
        <x:v>100.96081183201986</x:v>
      </x:c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 ht="23" customHeight="1">
      <x:c r="A71" s="1" t="str">
        <x:f>TEXT('History'!A311,"mmm yyyy")</x:f>
        <x:v>Oct 2025</x:v>
      </x:c>
      <x:c r="B71" s="9" t="n">
        <x:f>'History'!I311</x:f>
        <x:v>230.8</x:v>
      </x:c>
      <x:c r="C71" s="9" t="n">
        <x:f>100*B71/AVERAGEIFS('History'!I$2:I$322,'History'!$A$2:$A$322,"&gt;="&amp;DATE(2020,1,1),'History'!$A$2:$A$322,"&lt;"&amp;DATE(2021,1,1))</x:f>
        <x:v>99.66533520457735</x:v>
      </x:c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 ht="23" customHeight="1">
      <x:c r="A72" s="1" t="str">
        <x:f>TEXT('History'!A312,"mmm yyyy")</x:f>
        <x:v>Nov 2025</x:v>
      </x:c>
      <x:c r="B72" s="9" t="n">
        <x:f>'History'!I312</x:f>
        <x:v>245.9</x:v>
      </x:c>
      <x:c r="C72" s="9" t="n">
        <x:f>100*B72/AVERAGEIFS('History'!I$2:I$322,'History'!$A$2:$A$322,"&gt;="&amp;DATE(2020,1,1),'History'!$A$2:$A$322,"&lt;"&amp;DATE(2021,1,1))</x:f>
        <x:v>106.18590089603799</x:v>
      </x:c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 ht="23" customHeight="1">
      <x:c r="A73" s="1" t="str">
        <x:f>TEXT('History'!A313,"mmm yyyy")</x:f>
        <x:v>Dec 2025</x:v>
      </x:c>
      <x:c r="B73" s="9" t="n">
        <x:f>'History'!I313</x:f>
        <x:v>242.8</x:v>
      </x:c>
      <x:c r="C73" s="9" t="n">
        <x:f>100*B73/AVERAGEIFS('History'!I$2:I$322,'History'!$A$2:$A$322,"&gt;="&amp;DATE(2020,1,1),'History'!$A$2:$A$322,"&lt;"&amp;DATE(2021,1,1))</x:f>
        <x:v>104.84724171434739</x:v>
      </x:c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 ht="23" customHeight="1">
      <x:c r="A74" s="1" t="str">
        <x:f>TEXT('History'!A314,"mmm yyyy")</x:f>
        <x:v>Jan 2026</x:v>
      </x:c>
      <x:c r="B74" s="9" t="n">
        <x:f>'History'!I314</x:f>
        <x:v>249.9</x:v>
      </x:c>
      <x:c r="C74" s="9" t="n">
        <x:f>100*B74/AVERAGEIFS('History'!I$2:I$322,'History'!$A$2:$A$322,"&gt;="&amp;DATE(2020,1,1),'History'!$A$2:$A$322,"&lt;"&amp;DATE(2021,1,1))</x:f>
        <x:v>107.91320306596134</x:v>
      </x:c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 ht="23" customHeight="1">
      <x:c r="A75" s="1" t="str">
        <x:f>TEXT('History'!A315,"mmm yyyy")</x:f>
        <x:v>Feb 2026</x:v>
      </x:c>
      <x:c r="B75" s="9" t="n">
        <x:f>'History'!I315</x:f>
        <x:v>257.6</x:v>
      </x:c>
      <x:c r="C75" s="9" t="n">
        <x:f>100*B75/AVERAGEIFS('History'!I$2:I$322,'History'!$A$2:$A$322,"&gt;="&amp;DATE(2020,1,1),'History'!$A$2:$A$322,"&lt;"&amp;DATE(2021,1,1))</x:f>
        <x:v>111.23825974306381</x:v>
      </x:c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 ht="23" customHeight="1">
      <x:c r="A76" s="1" t="str">
        <x:f>TEXT('History'!A316,"mmm yyyy")</x:f>
        <x:v>Mar 2026</x:v>
      </x:c>
      <x:c r="B76" s="9" t="n">
        <x:f>'History'!I316</x:f>
        <x:v>276</x:v>
      </x:c>
      <x:c r="C76" s="9" t="n">
        <x:f>100*B76/AVERAGEIFS('History'!I$2:I$322,'History'!$A$2:$A$322,"&gt;="&amp;DATE(2020,1,1),'History'!$A$2:$A$322,"&lt;"&amp;DATE(2021,1,1))</x:f>
        <x:v>119.18384972471121</x:v>
      </x:c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 ht="23" customHeight="1">
      <x:c r="A77" s="1" t="str">
        <x:f>TEXT('History'!A317,"mmm yyyy")</x:f>
        <x:v>Apr 2026</x:v>
      </x:c>
      <x:c r="B77" s="9" t="n">
        <x:f>'History'!I317</x:f>
        <x:v>282</x:v>
      </x:c>
      <x:c r="C77" s="9" t="n">
        <x:f>100*B77/AVERAGEIFS('History'!I$2:I$322,'History'!$A$2:$A$322,"&gt;="&amp;DATE(2020,1,1),'History'!$A$2:$A$322,"&lt;"&amp;DATE(2021,1,1))</x:f>
        <x:v>121.77480297959623</x:v>
      </x:c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 ht="23" customHeight="1">
      <x:c r="A78" s="1" t="str">
        <x:f>TEXT('History'!A318,"mmm yyyy")</x:f>
        <x:v>May 2026</x:v>
      </x:c>
      <x:c r="B78" s="9" t="n">
        <x:f>'History'!I318</x:f>
        <x:v>303</x:v>
      </x:c>
      <x:c r="C78" s="9" t="n">
        <x:f>100*B78/AVERAGEIFS('History'!I$2:I$322,'History'!$A$2:$A$322,"&gt;="&amp;DATE(2020,1,1),'History'!$A$2:$A$322,"&lt;"&amp;DATE(2021,1,1))</x:f>
        <x:v>130.84313937169384</x:v>
      </x:c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 ht="23" customHeight="1">
      <x:c r="A79" s="1" t="str">
        <x:f>TEXT('History'!A319,"mmm yyyy")</x:f>
        <x:v>Jun 2026</x:v>
      </x:c>
      <x:c r="B79" s="9" t="n">
        <x:f>'History'!I319</x:f>
        <x:v>286</x:v>
      </x:c>
      <x:c r="C79" s="9" t="n">
        <x:f>100*B79/AVERAGEIFS('History'!I$2:I$322,'History'!$A$2:$A$322,"&gt;="&amp;DATE(2020,1,1),'History'!$A$2:$A$322,"&lt;"&amp;DATE(2021,1,1))</x:f>
        <x:v>123.50210514951958</x:v>
      </x:c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 ht="23" customHeight="1">
      <x:c r="A80" s="1" t="str">
        <x:f>TEXT('History'!A320,"mmm yyyy")</x:f>
        <x:v>Jul 2026</x:v>
      </x:c>
      <x:c r="B80" s="9" t="n">
        <x:f>'History'!I320</x:f>
        <x:v>310</x:v>
      </x:c>
      <x:c r="C80" s="9" t="n">
        <x:f>100*B80/AVERAGEIFS('History'!I$2:I$322,'History'!$A$2:$A$322,"&gt;="&amp;DATE(2020,1,1),'History'!$A$2:$A$322,"&lt;"&amp;DATE(2021,1,1))</x:f>
        <x:v>133.86591816905968</x:v>
      </x:c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t="str">
        <x:f>TEXT('History'!A321,"mmm yyyy")</x:f>
        <x:v>Aug 2026</x:v>
      </x:c>
      <x:c r="B81" s="13" t="n">
        <x:f>'History'!I321</x:f>
        <x:v>330</x:v>
      </x:c>
      <x:c r="C81" s="13" t="n">
        <x:f>100*B81/AVERAGEIFS('History'!I$2:I$322,'History'!$A$2:$A$322,"&gt;="&amp;DATE(2020,1,1),'History'!$A$2:$A$322,"&lt;"&amp;DATE(2021,1,1))</x:f>
        <x:v>142.50242901867645</x:v>
      </x:c>
    </x:row>
    <x:row r="82">
      <x:c r="A82" t="str">
        <x:f>TEXT('History'!A322,"mmm yyyy")</x:f>
        <x:v>Sep 2026</x:v>
      </x:c>
      <x:c r="B82" s="13" t="n">
        <x:f>'History'!I322</x:f>
        <x:v>347</x:v>
      </x:c>
      <x:c r="C82" s="13" t="n">
        <x:f>100*B82/AVERAGEIFS('History'!I$2:I$322,'History'!$A$2:$A$322,"&gt;="&amp;DATE(2020,1,1),'History'!$A$2:$A$322,"&lt;"&amp;DATE(2021,1,1))</x:f>
        <x:v>149.8434632408507</x:v>
      </x:c>
    </x:row>
  </x:sheetData>
  <x:conditionalFormatting sqref="D7:D14">
    <x:cfRule type="colorScale" priority="1">
      <x:colorScale>
        <x:cfvo type="min"/>
        <x:cfvo type="percentile" val="50"/>
        <x:cfvo type="max"/>
        <x:color rgb="FFDDF5EB"/>
        <x:color rgb="FFFFFFFF"/>
        <x:color rgb="FFFFDDE1"/>
      </x:colorScale>
    </x:cfRule>
  </x:conditionalFormatting>
  <x:pageMargins left="0.7" right="0.7" top="0.75" bottom="0.75" header="0.3" footer="0.3"/>
  <x:drawing xmlns:r="http://schemas.openxmlformats.org/officeDocument/2006/relationships" r:id="R428a84d36b904529"/>
</x:worksheet>
</file>

<file path=xl/worksheets/sheet2.xml><?xml version="1.0" encoding="utf-8"?>
<x:worksheet xmlns:x="http://schemas.openxmlformats.org/spreadsheetml/2006/main">
  <x:sheetPr>
    <x:tabColor rgb="FF2478B5"/>
  </x:sheetPr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2" t="str">
        <x:v>Procurement budget scenario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3" t="str">
        <x:v>Illustrative quantities and FX assumptions. Yellow cells are editable; no company data.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 t="str">
        <x:v>USD to local currency rate</x:v>
      </x:c>
      <x:c r="B5" s="14" t="n">
        <x:v>85</x:v>
      </x:c>
      <x:c r="C5" s="1"/>
      <x:c r="D5" s="1"/>
      <x:c r="E5" s="1"/>
      <x:c r="F5" s="1"/>
      <x:c r="G5" s="1"/>
      <x:c r="H5" s="1"/>
      <x:c r="I5" s="1"/>
      <x:c r="J5" s="1"/>
    </x:row>
    <x:row r="6" ht="23" customHeight="1">
      <x:c r="A6" s="1" t="str">
        <x:v>Currency depreciation</x:v>
      </x:c>
      <x:c r="B6" s="15" t="n">
        <x:v>0.1</x:v>
      </x:c>
      <x:c r="C6" s="1"/>
      <x:c r="D6" s="1"/>
      <x:c r="E6" s="1"/>
      <x:c r="F6" s="1"/>
      <x:c r="G6" s="1"/>
      <x:c r="H6" s="1"/>
      <x:c r="I6" s="1"/>
      <x:c r="J6" s="1"/>
    </x:row>
    <x:row r="7" ht="23" customHeight="1">
      <x:c r="A7" s="1" t="str">
        <x:v>Commodity pass-through</x:v>
      </x:c>
      <x:c r="B7" s="15" t="n">
        <x:v>0.6</x:v>
      </x:c>
      <x:c r="C7" s="1"/>
      <x:c r="D7" s="1"/>
      <x:c r="E7" s="1"/>
      <x:c r="F7" s="1"/>
      <x:c r="G7" s="1"/>
      <x:c r="H7" s="1"/>
      <x:c r="I7" s="1"/>
      <x:c r="J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30" customHeight="1">
      <x:c r="A10" s="7" t="str">
        <x:v>Commodity</x:v>
      </x:c>
      <x:c r="B10" s="7" t="str">
        <x:v>Quantity (mt)</x:v>
      </x:c>
      <x:c r="C10" s="7" t="str">
        <x:v>Latest USD/mt</x:v>
      </x:c>
      <x:c r="D10" s="7" t="str">
        <x:v>Price shock</x:v>
      </x:c>
      <x:c r="E10" s="7" t="str">
        <x:v>Base USD</x:v>
      </x:c>
      <x:c r="F10" s="7" t="str">
        <x:v>Stressed USD</x:v>
      </x:c>
      <x:c r="G10" s="7" t="str">
        <x:v>Delta USD</x:v>
      </x:c>
      <x:c r="H10" s="1"/>
      <x:c r="I10" s="1"/>
      <x:c r="J10" s="1"/>
    </x:row>
    <x:row r="11" ht="23" customHeight="1">
      <x:c r="A11" s="1" t="str">
        <x:v>Cocoa</x:v>
      </x:c>
      <x:c r="B11" s="14" t="n">
        <x:v>10</x:v>
      </x:c>
      <x:c r="C11" s="9" t="n">
        <x:f>'Overview'!B7</x:f>
        <x:v>5920</x:v>
      </x:c>
      <x:c r="D11" s="15" t="n">
        <x:v>0.2</x:v>
      </x:c>
      <x:c r="E11" s="9" t="n">
        <x:f>B11*C11</x:f>
        <x:v>59200</x:v>
      </x:c>
      <x:c r="F11" s="9" t="n">
        <x:f>E11*(1+D11*$B$7)</x:f>
        <x:v>66304</x:v>
      </x:c>
      <x:c r="G11" s="9" t="n">
        <x:f>F11-E11</x:f>
        <x:v>7104</x:v>
      </x:c>
      <x:c r="H11" s="1"/>
      <x:c r="I11" s="1"/>
      <x:c r="J11" s="1"/>
    </x:row>
    <x:row r="12" ht="23" customHeight="1">
      <x:c r="A12" s="1" t="str">
        <x:v>Maize</x:v>
      </x:c>
      <x:c r="B12" s="14" t="n">
        <x:v>10</x:v>
      </x:c>
      <x:c r="C12" s="9" t="n">
        <x:f>'Overview'!B8</x:f>
        <x:v>239.6</x:v>
      </x:c>
      <x:c r="D12" s="15" t="n">
        <x:v>0.2</x:v>
      </x:c>
      <x:c r="E12" s="9" t="n">
        <x:f>B12*C12</x:f>
        <x:v>2396</x:v>
      </x:c>
      <x:c r="F12" s="9" t="n">
        <x:f>E12*(1+D12*$B$7)</x:f>
        <x:v>2683.5200000000004</x:v>
      </x:c>
      <x:c r="G12" s="9" t="n">
        <x:f>F12-E12</x:f>
        <x:v>287.52000000000044</x:v>
      </x:c>
      <x:c r="H12" s="1"/>
      <x:c r="I12" s="1"/>
      <x:c r="J12" s="1"/>
    </x:row>
    <x:row r="13" ht="23" customHeight="1">
      <x:c r="A13" s="1" t="str">
        <x:v>Palm oil</x:v>
      </x:c>
      <x:c r="B13" s="14" t="n">
        <x:v>10</x:v>
      </x:c>
      <x:c r="C13" s="9" t="n">
        <x:f>'Overview'!B9</x:f>
        <x:v>1180</x:v>
      </x:c>
      <x:c r="D13" s="15" t="n">
        <x:v>0.2</x:v>
      </x:c>
      <x:c r="E13" s="9" t="n">
        <x:f>B13*C13</x:f>
        <x:v>11800</x:v>
      </x:c>
      <x:c r="F13" s="9" t="n">
        <x:f>E13*(1+D13*$B$7)</x:f>
        <x:v>13216.000000000002</x:v>
      </x:c>
      <x:c r="G13" s="9" t="n">
        <x:f>F13-E13</x:f>
        <x:v>1416.0000000000018</x:v>
      </x:c>
      <x:c r="H13" s="1"/>
      <x:c r="I13" s="1"/>
      <x:c r="J13" s="1"/>
    </x:row>
    <x:row r="14" ht="23" customHeight="1">
      <x:c r="A14" s="1" t="str">
        <x:v>Rice</x:v>
      </x:c>
      <x:c r="B14" s="14" t="n">
        <x:v>10</x:v>
      </x:c>
      <x:c r="C14" s="9" t="n">
        <x:f>'Overview'!B10</x:f>
        <x:v>482</x:v>
      </x:c>
      <x:c r="D14" s="15" t="n">
        <x:v>0.2</x:v>
      </x:c>
      <x:c r="E14" s="9" t="n">
        <x:f>B14*C14</x:f>
        <x:v>4820</x:v>
      </x:c>
      <x:c r="F14" s="9" t="n">
        <x:f>E14*(1+D14*$B$7)</x:f>
        <x:v>5398.400000000001</x:v>
      </x:c>
      <x:c r="G14" s="9" t="n">
        <x:f>F14-E14</x:f>
        <x:v>578.4000000000005</x:v>
      </x:c>
      <x:c r="H14" s="1"/>
      <x:c r="I14" s="1"/>
      <x:c r="J14" s="1"/>
    </x:row>
    <x:row r="15" ht="23" customHeight="1">
      <x:c r="A15" s="1" t="str">
        <x:v>Soybean oil</x:v>
      </x:c>
      <x:c r="B15" s="14" t="n">
        <x:v>10</x:v>
      </x:c>
      <x:c r="C15" s="9" t="n">
        <x:f>'Overview'!B11</x:f>
        <x:v>1615</x:v>
      </x:c>
      <x:c r="D15" s="15" t="n">
        <x:v>0.2</x:v>
      </x:c>
      <x:c r="E15" s="9" t="n">
        <x:f>B15*C15</x:f>
        <x:v>16150</x:v>
      </x:c>
      <x:c r="F15" s="9" t="n">
        <x:f>E15*(1+D15*$B$7)</x:f>
        <x:v>18088</x:v>
      </x:c>
      <x:c r="G15" s="9" t="n">
        <x:f>F15-E15</x:f>
        <x:v>1938</x:v>
      </x:c>
      <x:c r="H15" s="1"/>
      <x:c r="I15" s="1"/>
      <x:c r="J15" s="1"/>
    </x:row>
    <x:row r="16" ht="23" customHeight="1">
      <x:c r="A16" s="1" t="str">
        <x:v>Soybeans</x:v>
      </x:c>
      <x:c r="B16" s="14" t="n">
        <x:v>10</x:v>
      </x:c>
      <x:c r="C16" s="9" t="n">
        <x:f>'Overview'!B12</x:f>
        <x:v>524</x:v>
      </x:c>
      <x:c r="D16" s="15" t="n">
        <x:v>0.2</x:v>
      </x:c>
      <x:c r="E16" s="9" t="n">
        <x:f>B16*C16</x:f>
        <x:v>5240</x:v>
      </x:c>
      <x:c r="F16" s="9" t="n">
        <x:f>E16*(1+D16*$B$7)</x:f>
        <x:v>5868.8</x:v>
      </x:c>
      <x:c r="G16" s="9" t="n">
        <x:f>F16-E16</x:f>
        <x:v>628.8000000000002</x:v>
      </x:c>
      <x:c r="H16" s="1"/>
      <x:c r="I16" s="1"/>
      <x:c r="J16" s="1"/>
    </x:row>
    <x:row r="17" ht="23" customHeight="1">
      <x:c r="A17" s="1" t="str">
        <x:v>Sugar</x:v>
      </x:c>
      <x:c r="B17" s="14" t="n">
        <x:v>10</x:v>
      </x:c>
      <x:c r="C17" s="9" t="n">
        <x:f>'Overview'!B13</x:f>
        <x:v>410</x:v>
      </x:c>
      <x:c r="D17" s="15" t="n">
        <x:v>0.2</x:v>
      </x:c>
      <x:c r="E17" s="9" t="n">
        <x:f>B17*C17</x:f>
        <x:v>4100</x:v>
      </x:c>
      <x:c r="F17" s="9" t="n">
        <x:f>E17*(1+D17*$B$7)</x:f>
        <x:v>4592</x:v>
      </x:c>
      <x:c r="G17" s="9" t="n">
        <x:f>F17-E17</x:f>
        <x:v>492</x:v>
      </x:c>
      <x:c r="H17" s="1"/>
      <x:c r="I17" s="1"/>
      <x:c r="J17" s="1"/>
    </x:row>
    <x:row r="18" ht="23" customHeight="1">
      <x:c r="A18" s="1" t="str">
        <x:v>Wheat</x:v>
      </x:c>
      <x:c r="B18" s="14" t="n">
        <x:v>10</x:v>
      </x:c>
      <x:c r="C18" s="9" t="n">
        <x:f>'Overview'!B14</x:f>
        <x:v>347</x:v>
      </x:c>
      <x:c r="D18" s="15" t="n">
        <x:v>0.2</x:v>
      </x:c>
      <x:c r="E18" s="9" t="n">
        <x:f>B18*C18</x:f>
        <x:v>3470</x:v>
      </x:c>
      <x:c r="F18" s="9" t="n">
        <x:f>E18*(1+D18*$B$7)</x:f>
        <x:v>3886.4000000000005</x:v>
      </x:c>
      <x:c r="G18" s="9" t="n">
        <x:f>F18-E18</x:f>
        <x:v>416.40000000000055</x:v>
      </x:c>
      <x:c r="H18" s="1"/>
      <x:c r="I18" s="1"/>
      <x:c r="J18" s="1"/>
    </x:row>
    <x:row r="19" ht="23" customHeight="1">
      <x:c r="A19" s="1"/>
      <x:c r="B19" s="1"/>
      <x:c r="C19" s="1"/>
      <x:c r="D19" s="1"/>
      <x:c r="E19" s="9"/>
      <x:c r="F19" s="9"/>
      <x:c r="G19" s="9"/>
      <x:c r="H19" s="1"/>
      <x:c r="I19" s="1"/>
      <x:c r="J19" s="1"/>
    </x:row>
    <x:row r="20" ht="23" customHeight="1">
      <x:c r="A20" s="16" t="str">
        <x:v>Basket total USD</x:v>
      </x:c>
      <x:c r="B20" s="16"/>
      <x:c r="C20" s="16"/>
      <x:c r="D20" s="16"/>
      <x:c r="E20" s="17" t="n">
        <x:f>SUM(E11:E18)</x:f>
        <x:v>107176</x:v>
      </x:c>
      <x:c r="F20" s="17" t="n">
        <x:f>SUM(F11:F18)</x:f>
        <x:v>120037.12</x:v>
      </x:c>
      <x:c r="G20" s="17" t="n">
        <x:f>F20-E20</x:f>
        <x:v>12861.119999999995</x:v>
      </x:c>
      <x:c r="H20" s="1"/>
      <x:c r="I20" s="1"/>
      <x:c r="J20" s="1"/>
    </x:row>
    <x:row r="21" ht="23" customHeight="1">
      <x:c r="A21" s="1"/>
      <x:c r="B21" s="1"/>
      <x:c r="C21" s="1"/>
      <x:c r="D21" s="1"/>
      <x:c r="E21" s="9"/>
      <x:c r="F21" s="9"/>
      <x:c r="G21" s="9"/>
      <x:c r="H21" s="1"/>
      <x:c r="I21" s="1"/>
      <x:c r="J21" s="1"/>
    </x:row>
    <x:row r="22" ht="23" customHeight="1">
      <x:c r="A22" s="1" t="str">
        <x:v>Total local currency</x:v>
      </x:c>
      <x:c r="B22" s="1"/>
      <x:c r="C22" s="1"/>
      <x:c r="D22" s="1"/>
      <x:c r="E22" s="9" t="n">
        <x:f>E20*$B$5</x:f>
        <x:v>9109960</x:v>
      </x:c>
      <x:c r="F22" s="9" t="n">
        <x:f>F20*$B$5*(1+$B$6)</x:f>
        <x:v>11223470.72</x:v>
      </x:c>
      <x:c r="G22" s="9" t="n">
        <x:f>F22-E22</x:f>
        <x:v>2113510.7200000007</x:v>
      </x:c>
      <x:c r="H22" s="1"/>
      <x:c r="I22" s="1"/>
      <x:c r="J22" s="1"/>
    </x:row>
    <x:row r="23" ht="23" customHeight="1">
      <x:c r="A23" s="1" t="str">
        <x:v>Budget change (%)</x:v>
      </x:c>
      <x:c r="B23" s="1"/>
      <x:c r="C23" s="1"/>
      <x:c r="D23" s="1"/>
      <x:c r="E23" s="9"/>
      <x:c r="F23" s="9"/>
      <x:c r="G23" s="11" t="n">
        <x:f>IF(E22=0,"n.a.",G22/E22)</x:f>
        <x:v>0.23200000000000007</x:v>
      </x:c>
      <x:c r="H23" s="1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23" customHeight="1">
      <x:c r="A26" s="1" t="str">
        <x:v>FX multiplies the full imported basket. Pass-through applies only to the commodity shock.</x:v>
      </x:c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23" customHeight="1">
      <x:c r="A27" s="1" t="str">
        <x:v>Constant quantities; excludes freight, tariffs, storage, taxes and contract lags.</x:v>
      </x:c>
      <x:c r="B27" s="1"/>
      <x:c r="C27" s="1"/>
      <x:c r="D27" s="1"/>
      <x:c r="E27" s="1"/>
      <x:c r="F27" s="1"/>
      <x:c r="G27" s="1"/>
      <x:c r="H27" s="1"/>
      <x:c r="I27" s="1"/>
      <x:c r="J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</x:sheetData>
  <x:dataValidations count="5">
    <x:dataValidation type="decimal" operator="greaterThan" sqref="B5">
      <x:formula1>0</x:formula1>
    </x:dataValidation>
    <x:dataValidation type="decimal" operator="between" sqref="B6">
      <x:formula1>-0.99</x:formula1>
      <x:formula2>5</x:formula2>
    </x:dataValidation>
    <x:dataValidation type="decimal" operator="between" sqref="B7">
      <x:formula1>0</x:formula1>
      <x:formula2>1</x:formula2>
    </x:dataValidation>
    <x:dataValidation type="decimal" operator="greaterThanOrEqual" sqref="B11:B18">
      <x:formula1>0</x:formula1>
    </x:dataValidation>
    <x:dataValidation type="decimal" operator="between" sqref="D11:D18">
      <x:formula1>-0.99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7" t="str">
        <x:v>Month</x:v>
      </x:c>
      <x:c r="B1" s="7" t="str">
        <x:v>Cocoa</x:v>
      </x:c>
      <x:c r="C1" s="7" t="str">
        <x:v>Maize</x:v>
      </x:c>
      <x:c r="D1" s="7" t="str">
        <x:v>Palm oil</x:v>
      </x:c>
      <x:c r="E1" s="7" t="str">
        <x:v>Rice</x:v>
      </x:c>
      <x:c r="F1" s="7" t="str">
        <x:v>Soybean oil</x:v>
      </x:c>
      <x:c r="G1" s="7" t="str">
        <x:v>Soybeans</x:v>
      </x:c>
      <x:c r="H1" s="7" t="str">
        <x:v>Sugar</x:v>
      </x:c>
      <x:c r="I1" s="7" t="str">
        <x:v>Wheat</x:v>
      </x:c>
    </x:row>
    <x:row r="2" ht="23" customHeight="1">
      <x:c r="A2" s="8" t="d">
        <x:v>2000-01-01T00:00:00.000Z</x:v>
      </x:c>
      <x:c r="B2" s="9" t="n">
        <x:v>920</x:v>
      </x:c>
      <x:c r="C2" s="9" t="n">
        <x:v>93.3</x:v>
      </x:c>
      <x:c r="D2" s="9" t="n">
        <x:v>348</x:v>
      </x:c>
      <x:c r="E2" s="9" t="n">
        <x:v>241.4</x:v>
      </x:c>
      <x:c r="F2" s="9" t="n">
        <x:v>370</x:v>
      </x:c>
      <x:c r="G2" s="9" t="n">
        <x:v>208</x:v>
      </x:c>
      <x:c r="H2" s="9" t="n">
        <x:v>120</x:v>
      </x:c>
      <x:c r="I2" s="9" t="n">
        <x:v>105.8</x:v>
      </x:c>
    </x:row>
    <x:row r="3" ht="23" customHeight="1">
      <x:c r="A3" s="8" t="d">
        <x:v>2000-02-01T00:00:00.000Z</x:v>
      </x:c>
      <x:c r="B3" s="9" t="n">
        <x:v>860</x:v>
      </x:c>
      <x:c r="C3" s="9" t="n">
        <x:v>95.2</x:v>
      </x:c>
      <x:c r="D3" s="9" t="n">
        <x:v>332</x:v>
      </x:c>
      <x:c r="E3" s="9" t="n">
        <x:v>241</x:v>
      </x:c>
      <x:c r="F3" s="9" t="n">
        <x:v>358</x:v>
      </x:c>
      <x:c r="G3" s="9" t="n">
        <x:v>214</x:v>
      </x:c>
      <x:c r="H3" s="9" t="n">
        <x:v>120</x:v>
      </x:c>
      <x:c r="I3" s="9" t="n">
        <x:v>107.9</x:v>
      </x:c>
    </x:row>
    <x:row r="4" ht="23" customHeight="1">
      <x:c r="A4" s="8" t="d">
        <x:v>2000-03-01T00:00:00.000Z</x:v>
      </x:c>
      <x:c r="B4" s="9" t="n">
        <x:v>930</x:v>
      </x:c>
      <x:c r="C4" s="9" t="n">
        <x:v>95.1</x:v>
      </x:c>
      <x:c r="D4" s="9" t="n">
        <x:v>349</x:v>
      </x:c>
      <x:c r="E4" s="9" t="n">
        <x:v>225.8</x:v>
      </x:c>
      <x:c r="F4" s="9" t="n">
        <x:v>363</x:v>
      </x:c>
      <x:c r="G4" s="9" t="n">
        <x:v>221</x:v>
      </x:c>
      <x:c r="H4" s="9" t="n">
        <x:v>110</x:v>
      </x:c>
      <x:c r="I4" s="9" t="n">
        <x:v>105.7</x:v>
      </x:c>
    </x:row>
    <x:row r="5" ht="23" customHeight="1">
      <x:c r="A5" s="8" t="d">
        <x:v>2000-04-01T00:00:00.000Z</x:v>
      </x:c>
      <x:c r="B5" s="9" t="n">
        <x:v>910</x:v>
      </x:c>
      <x:c r="C5" s="9" t="n">
        <x:v>95.2</x:v>
      </x:c>
      <x:c r="D5" s="9" t="n">
        <x:v>372</x:v>
      </x:c>
      <x:c r="E5" s="9" t="n">
        <x:v>214.8</x:v>
      </x:c>
      <x:c r="F5" s="9" t="n">
        <x:v>366</x:v>
      </x:c>
      <x:c r="G5" s="9" t="n">
        <x:v>229</x:v>
      </x:c>
      <x:c r="H5" s="9" t="n">
        <x:v>130</x:v>
      </x:c>
      <x:c r="I5" s="9" t="n">
        <x:v>105.1</x:v>
      </x:c>
    </x:row>
    <x:row r="6" ht="23" customHeight="1">
      <x:c r="A6" s="8" t="d">
        <x:v>2000-05-01T00:00:00.000Z</x:v>
      </x:c>
      <x:c r="B6" s="9" t="n">
        <x:v>920</x:v>
      </x:c>
      <x:c r="C6" s="9" t="n">
        <x:v>96.4</x:v>
      </x:c>
      <x:c r="D6" s="9" t="n">
        <x:v>324</x:v>
      </x:c>
      <x:c r="E6" s="9" t="n">
        <x:v>198.6</x:v>
      </x:c>
      <x:c r="F6" s="9" t="n">
        <x:v>338</x:v>
      </x:c>
      <x:c r="G6" s="9" t="n">
        <x:v>229</x:v>
      </x:c>
      <x:c r="H6" s="9" t="n">
        <x:v>150</x:v>
      </x:c>
      <x:c r="I6" s="9" t="n">
        <x:v>112.1</x:v>
      </x:c>
    </x:row>
    <x:row r="7" ht="23" customHeight="1">
      <x:c r="A7" s="8" t="d">
        <x:v>2000-06-01T00:00:00.000Z</x:v>
      </x:c>
      <x:c r="B7" s="9" t="n">
        <x:v>950</x:v>
      </x:c>
      <x:c r="C7" s="9" t="n">
        <x:v>84.3</x:v>
      </x:c>
      <x:c r="D7" s="9" t="n">
        <x:v>315</x:v>
      </x:c>
      <x:c r="E7" s="9" t="n">
        <x:v>196</x:v>
      </x:c>
      <x:c r="F7" s="9" t="n">
        <x:v>330</x:v>
      </x:c>
      <x:c r="G7" s="9" t="n">
        <x:v>211</x:v>
      </x:c>
      <x:c r="H7" s="9" t="n">
        <x:v>180</x:v>
      </x:c>
      <x:c r="I7" s="9" t="n">
        <x:v>113.5</x:v>
      </x:c>
    </x:row>
    <x:row r="8" ht="23" customHeight="1">
      <x:c r="A8" s="8" t="d">
        <x:v>2000-07-01T00:00:00.000Z</x:v>
      </x:c>
      <x:c r="B8" s="9" t="n">
        <x:v>970</x:v>
      </x:c>
      <x:c r="C8" s="9" t="n">
        <x:v>75.3</x:v>
      </x:c>
      <x:c r="D8" s="9" t="n">
        <x:v>312</x:v>
      </x:c>
      <x:c r="E8" s="9" t="n">
        <x:v>189</x:v>
      </x:c>
      <x:c r="F8" s="9" t="n">
        <x:v>339</x:v>
      </x:c>
      <x:c r="G8" s="9" t="n">
        <x:v>197</x:v>
      </x:c>
      <x:c r="H8" s="9" t="n">
        <x:v>210</x:v>
      </x:c>
      <x:c r="I8" s="9" t="n">
        <x:v>109</x:v>
      </x:c>
    </x:row>
    <x:row r="9" ht="23" customHeight="1">
      <x:c r="A9" s="8" t="d">
        <x:v>2000-08-01T00:00:00.000Z</x:v>
      </x:c>
      <x:c r="B9" s="9" t="n">
        <x:v>890</x:v>
      </x:c>
      <x:c r="C9" s="9" t="n">
        <x:v>75.6</x:v>
      </x:c>
      <x:c r="D9" s="9" t="n">
        <x:v>306</x:v>
      </x:c>
      <x:c r="E9" s="9" t="n">
        <x:v>186.5</x:v>
      </x:c>
      <x:c r="F9" s="9" t="n">
        <x:v>329</x:v>
      </x:c>
      <x:c r="G9" s="9" t="n">
        <x:v>198</x:v>
      </x:c>
      <x:c r="H9" s="9" t="n">
        <x:v>230</x:v>
      </x:c>
      <x:c r="I9" s="9" t="n">
        <x:v>108.4</x:v>
      </x:c>
    </x:row>
    <x:row r="10" ht="23" customHeight="1">
      <x:c r="A10" s="8" t="d">
        <x:v>2000-09-01T00:00:00.000Z</x:v>
      </x:c>
      <x:c r="B10" s="9" t="n">
        <x:v>880</x:v>
      </x:c>
      <x:c r="C10" s="9" t="n">
        <x:v>80.4</x:v>
      </x:c>
      <x:c r="D10" s="9" t="n">
        <x:v>288</x:v>
      </x:c>
      <x:c r="E10" s="9" t="n">
        <x:v>179</x:v>
      </x:c>
      <x:c r="F10" s="9" t="n">
        <x:v>312</x:v>
      </x:c>
      <x:c r="G10" s="9" t="n">
        <x:v>209</x:v>
      </x:c>
      <x:c r="H10" s="9" t="n">
        <x:v>220</x:v>
      </x:c>
      <x:c r="I10" s="9" t="n">
        <x:v>117.5</x:v>
      </x:c>
    </x:row>
    <x:row r="11" ht="23" customHeight="1">
      <x:c r="A11" s="8" t="d">
        <x:v>2000-10-01T00:00:00.000Z</x:v>
      </x:c>
      <x:c r="B11" s="9" t="n">
        <x:v>880</x:v>
      </x:c>
      <x:c r="C11" s="9" t="n">
        <x:v>85</x:v>
      </x:c>
      <x:c r="D11" s="9" t="n">
        <x:v>255</x:v>
      </x:c>
      <x:c r="E11" s="9" t="n">
        <x:v>187.5</x:v>
      </x:c>
      <x:c r="F11" s="9" t="n">
        <x:v>314</x:v>
      </x:c>
      <x:c r="G11" s="9" t="n">
        <x:v>203</x:v>
      </x:c>
      <x:c r="H11" s="9" t="n">
        <x:v>240</x:v>
      </x:c>
      <x:c r="I11" s="9" t="n">
        <x:v>128.2</x:v>
      </x:c>
    </x:row>
    <x:row r="12" ht="23" customHeight="1">
      <x:c r="A12" s="8" t="d">
        <x:v>2000-11-01T00:00:00.000Z</x:v>
      </x:c>
      <x:c r="B12" s="9" t="n">
        <x:v>880</x:v>
      </x:c>
      <x:c r="C12" s="9" t="n">
        <x:v>89.2</x:v>
      </x:c>
      <x:c r="D12" s="9" t="n">
        <x:v>257</x:v>
      </x:c>
      <x:c r="E12" s="9" t="n">
        <x:v>185</x:v>
      </x:c>
      <x:c r="F12" s="9" t="n">
        <x:v>317</x:v>
      </x:c>
      <x:c r="G12" s="9" t="n">
        <x:v>206</x:v>
      </x:c>
      <x:c r="H12" s="9" t="n">
        <x:v>220</x:v>
      </x:c>
      <x:c r="I12" s="9" t="n">
        <x:v>127.7</x:v>
      </x:c>
    </x:row>
    <x:row r="13" ht="23" customHeight="1">
      <x:c r="A13" s="8" t="d">
        <x:v>2000-12-01T00:00:00.000Z</x:v>
      </x:c>
      <x:c r="B13" s="9" t="n">
        <x:v>890</x:v>
      </x:c>
      <x:c r="C13" s="9" t="n">
        <x:v>97.6</x:v>
      </x:c>
      <x:c r="D13" s="9" t="n">
        <x:v>265</x:v>
      </x:c>
      <x:c r="E13" s="9" t="n">
        <x:v>184.3</x:v>
      </x:c>
      <x:c r="F13" s="9" t="n">
        <x:v>321</x:v>
      </x:c>
      <x:c r="G13" s="9" t="n">
        <x:v>217</x:v>
      </x:c>
      <x:c r="H13" s="9" t="n">
        <x:v>220</x:v>
      </x:c>
      <x:c r="I13" s="9" t="n">
        <x:v>128.1</x:v>
      </x:c>
    </x:row>
    <x:row r="14" ht="23" customHeight="1">
      <x:c r="A14" s="8" t="d">
        <x:v>2001-01-01T00:00:00.000Z</x:v>
      </x:c>
      <x:c r="B14" s="9" t="n">
        <x:v>1000</x:v>
      </x:c>
      <x:c r="C14" s="9" t="n">
        <x:v>95.2</x:v>
      </x:c>
      <x:c r="D14" s="9" t="n">
        <x:v>254</x:v>
      </x:c>
      <x:c r="E14" s="9" t="n">
        <x:v>184.4</x:v>
      </x:c>
      <x:c r="F14" s="9" t="n">
        <x:v>305</x:v>
      </x:c>
      <x:c r="G14" s="9" t="n">
        <x:v>210</x:v>
      </x:c>
      <x:c r="H14" s="9" t="n">
        <x:v>230</x:v>
      </x:c>
      <x:c r="I14" s="9" t="n">
        <x:v>132.8</x:v>
      </x:c>
    </x:row>
    <x:row r="15" ht="23" customHeight="1">
      <x:c r="A15" s="8" t="d">
        <x:v>2001-02-01T00:00:00.000Z</x:v>
      </x:c>
      <x:c r="B15" s="9" t="n">
        <x:v>890</x:v>
      </x:c>
      <x:c r="C15" s="9" t="n">
        <x:v>92</x:v>
      </x:c>
      <x:c r="D15" s="9" t="n">
        <x:v>240</x:v>
      </x:c>
      <x:c r="E15" s="9" t="n">
        <x:v>184.5</x:v>
      </x:c>
      <x:c r="F15" s="9" t="n">
        <x:v>304</x:v>
      </x:c>
      <x:c r="G15" s="9" t="n">
        <x:v>200</x:v>
      </x:c>
      <x:c r="H15" s="9" t="n">
        <x:v>220</x:v>
      </x:c>
      <x:c r="I15" s="9" t="n">
        <x:v>128.1</x:v>
      </x:c>
    </x:row>
    <x:row r="16" ht="23" customHeight="1">
      <x:c r="A16" s="8" t="d">
        <x:v>2001-03-01T00:00:00.000Z</x:v>
      </x:c>
      <x:c r="B16" s="9" t="n">
        <x:v>1120</x:v>
      </x:c>
      <x:c r="C16" s="9" t="n">
        <x:v>90.3</x:v>
      </x:c>
      <x:c r="D16" s="9" t="n">
        <x:v>254</x:v>
      </x:c>
      <x:c r="E16" s="9" t="n">
        <x:v>175</x:v>
      </x:c>
      <x:c r="F16" s="9" t="n">
        <x:v>328</x:v>
      </x:c>
      <x:c r="G16" s="9" t="n">
        <x:v>195</x:v>
      </x:c>
      <x:c r="H16" s="9" t="n">
        <x:v>200</x:v>
      </x:c>
      <x:c r="I16" s="9" t="n">
        <x:v>130.2</x:v>
      </x:c>
    </x:row>
    <x:row r="17" ht="23" customHeight="1">
      <x:c r="A17" s="8" t="d">
        <x:v>2001-04-01T00:00:00.000Z</x:v>
      </x:c>
      <x:c r="B17" s="9" t="n">
        <x:v>1080</x:v>
      </x:c>
      <x:c r="C17" s="9" t="n">
        <x:v>88</x:v>
      </x:c>
      <x:c r="D17" s="9" t="n">
        <x:v>251</x:v>
      </x:c>
      <x:c r="E17" s="9" t="n">
        <x:v>163.8</x:v>
      </x:c>
      <x:c r="F17" s="9" t="n">
        <x:v>326</x:v>
      </x:c>
      <x:c r="G17" s="9" t="n">
        <x:v>186</x:v>
      </x:c>
      <x:c r="H17" s="9" t="n">
        <x:v>190</x:v>
      </x:c>
      <x:c r="I17" s="9" t="n">
        <x:v>129.7</x:v>
      </x:c>
    </x:row>
    <x:row r="18" ht="23" customHeight="1">
      <x:c r="A18" s="8" t="d">
        <x:v>2001-05-01T00:00:00.000Z</x:v>
      </x:c>
      <x:c r="B18" s="9" t="n">
        <x:v>1080</x:v>
      </x:c>
      <x:c r="C18" s="9" t="n">
        <x:v>84.1</x:v>
      </x:c>
      <x:c r="D18" s="9" t="n">
        <x:v>234</x:v>
      </x:c>
      <x:c r="E18" s="9" t="n">
        <x:v>164.3</x:v>
      </x:c>
      <x:c r="F18" s="9" t="n">
        <x:v>295</x:v>
      </x:c>
      <x:c r="G18" s="9" t="n">
        <x:v>184</x:v>
      </x:c>
      <x:c r="H18" s="9" t="n">
        <x:v>210</x:v>
      </x:c>
      <x:c r="I18" s="9" t="n">
        <x:v>134.9</x:v>
      </x:c>
    </x:row>
    <x:row r="19" ht="23" customHeight="1">
      <x:c r="A19" s="8" t="d">
        <x:v>2001-06-01T00:00:00.000Z</x:v>
      </x:c>
      <x:c r="B19" s="9" t="n">
        <x:v>970</x:v>
      </x:c>
      <x:c r="C19" s="9" t="n">
        <x:v>83.3</x:v>
      </x:c>
      <x:c r="D19" s="9" t="n">
        <x:v>255</x:v>
      </x:c>
      <x:c r="E19" s="9" t="n">
        <x:v>168</x:v>
      </x:c>
      <x:c r="F19" s="9" t="n">
        <x:v>287</x:v>
      </x:c>
      <x:c r="G19" s="9" t="n">
        <x:v>188</x:v>
      </x:c>
      <x:c r="H19" s="9" t="n">
        <x:v>200</x:v>
      </x:c>
      <x:c r="I19" s="9" t="n">
        <x:v>127.2</x:v>
      </x:c>
    </x:row>
    <x:row r="20" ht="23" customHeight="1">
      <x:c r="A20" s="8" t="d">
        <x:v>2001-07-01T00:00:00.000Z</x:v>
      </x:c>
      <x:c r="B20" s="9" t="n">
        <x:v>970</x:v>
      </x:c>
      <x:c r="C20" s="9" t="n">
        <x:v>91.7</x:v>
      </x:c>
      <x:c r="D20" s="9" t="n">
        <x:v>330</x:v>
      </x:c>
      <x:c r="E20" s="9" t="n">
        <x:v>169.4</x:v>
      </x:c>
      <x:c r="F20" s="9" t="n">
        <x:v>421</x:v>
      </x:c>
      <x:c r="G20" s="9" t="n">
        <x:v>208</x:v>
      </x:c>
      <x:c r="H20" s="9" t="n">
        <x:v>190</x:v>
      </x:c>
      <x:c r="I20" s="9" t="n">
        <x:v>123.8</x:v>
      </x:c>
    </x:row>
    <x:row r="21" ht="23" customHeight="1">
      <x:c r="A21" s="8" t="d">
        <x:v>2001-08-01T00:00:00.000Z</x:v>
      </x:c>
      <x:c r="B21" s="9" t="n">
        <x:v>1030</x:v>
      </x:c>
      <x:c r="C21" s="9" t="n">
        <x:v>93.1</x:v>
      </x:c>
      <x:c r="D21" s="9" t="n">
        <x:v>362</x:v>
      </x:c>
      <x:c r="E21" s="9" t="n">
        <x:v>168.3</x:v>
      </x:c>
      <x:c r="F21" s="9" t="n">
        <x:v>427</x:v>
      </x:c>
      <x:c r="G21" s="9" t="n">
        <x:v>212</x:v>
      </x:c>
      <x:c r="H21" s="9" t="n">
        <x:v>180</x:v>
      </x:c>
      <x:c r="I21" s="9" t="n">
        <x:v>121.9</x:v>
      </x:c>
    </x:row>
    <x:row r="22" ht="23" customHeight="1">
      <x:c r="A22" s="8" t="d">
        <x:v>2001-09-01T00:00:00.000Z</x:v>
      </x:c>
      <x:c r="B22" s="9" t="n">
        <x:v>1020</x:v>
      </x:c>
      <x:c r="C22" s="9" t="n">
        <x:v>90.1</x:v>
      </x:c>
      <x:c r="D22" s="9" t="n">
        <x:v>310</x:v>
      </x:c>
      <x:c r="E22" s="9" t="n">
        <x:v>173</x:v>
      </x:c>
      <x:c r="F22" s="9" t="n">
        <x:v>385</x:v>
      </x:c>
      <x:c r="G22" s="9" t="n">
        <x:v>202</x:v>
      </x:c>
      <x:c r="H22" s="9" t="n">
        <x:v>170</x:v>
      </x:c>
      <x:c r="I22" s="9" t="n">
        <x:v>122</x:v>
      </x:c>
    </x:row>
    <x:row r="23" ht="23" customHeight="1">
      <x:c r="A23" s="8" t="d">
        <x:v>2001-10-01T00:00:00.000Z</x:v>
      </x:c>
      <x:c r="B23" s="9" t="n">
        <x:v>1080</x:v>
      </x:c>
      <x:c r="C23" s="9" t="n">
        <x:v>86.6</x:v>
      </x:c>
      <x:c r="D23" s="9" t="n">
        <x:v>277</x:v>
      </x:c>
      <x:c r="E23" s="9" t="n">
        <x:v>170.6</x:v>
      </x:c>
      <x:c r="F23" s="9" t="n">
        <x:v>373</x:v>
      </x:c>
      <x:c r="G23" s="9" t="n">
        <x:v>187</x:v>
      </x:c>
      <x:c r="H23" s="9" t="n">
        <x:v>150</x:v>
      </x:c>
      <x:c r="I23" s="9" t="n">
        <x:v>123.3</x:v>
      </x:c>
    </x:row>
    <x:row r="24" ht="23" customHeight="1">
      <x:c r="A24" s="8" t="d">
        <x:v>2001-11-01T00:00:00.000Z</x:v>
      </x:c>
      <x:c r="B24" s="9" t="n">
        <x:v>1230</x:v>
      </x:c>
      <x:c r="C24" s="9" t="n">
        <x:v>89.5</x:v>
      </x:c>
      <x:c r="D24" s="9" t="n">
        <x:v>323</x:v>
      </x:c>
      <x:c r="E24" s="9" t="n">
        <x:v>173.5</x:v>
      </x:c>
      <x:c r="F24" s="9" t="n">
        <x:v>391</x:v>
      </x:c>
      <x:c r="G24" s="9" t="n">
        <x:v>189</x:v>
      </x:c>
      <x:c r="H24" s="9" t="n">
        <x:v>170</x:v>
      </x:c>
      <x:c r="I24" s="9" t="n">
        <x:v>125.3</x:v>
      </x:c>
    </x:row>
    <x:row r="25" ht="23" customHeight="1">
      <x:c r="A25" s="8" t="d">
        <x:v>2001-12-01T00:00:00.000Z</x:v>
      </x:c>
      <x:c r="B25" s="9" t="n">
        <x:v>1340</x:v>
      </x:c>
      <x:c r="C25" s="9" t="n">
        <x:v>91.9</x:v>
      </x:c>
      <x:c r="D25" s="9" t="n">
        <x:v>360</x:v>
      </x:c>
      <x:c r="E25" s="9" t="n">
        <x:v>179.3</x:v>
      </x:c>
      <x:c r="F25" s="9" t="n">
        <x:v>397</x:v>
      </x:c>
      <x:c r="G25" s="9" t="n">
        <x:v>189</x:v>
      </x:c>
      <x:c r="H25" s="9" t="n">
        <x:v>170</x:v>
      </x:c>
      <x:c r="I25" s="9" t="n">
        <x:v>122.4</x:v>
      </x:c>
    </x:row>
    <x:row r="26" ht="23" customHeight="1">
      <x:c r="A26" s="8" t="d">
        <x:v>2002-01-01T00:00:00.000Z</x:v>
      </x:c>
      <x:c r="B26" s="9" t="n">
        <x:v>1390</x:v>
      </x:c>
      <x:c r="C26" s="9" t="n">
        <x:v>92</x:v>
      </x:c>
      <x:c r="D26" s="9" t="n">
        <x:v>374</x:v>
      </x:c>
      <x:c r="E26" s="9" t="n">
        <x:v>191.8</x:v>
      </x:c>
      <x:c r="F26" s="9" t="n">
        <x:v>389</x:v>
      </x:c>
      <x:c r="G26" s="9" t="n">
        <x:v>188</x:v>
      </x:c>
      <x:c r="H26" s="9" t="n">
        <x:v>170</x:v>
      </x:c>
      <x:c r="I26" s="9" t="n">
        <x:v>125.3</x:v>
      </x:c>
    </x:row>
    <x:row r="27" ht="23" customHeight="1">
      <x:c r="A27" s="8" t="d">
        <x:v>2002-02-01T00:00:00.000Z</x:v>
      </x:c>
      <x:c r="B27" s="9" t="n">
        <x:v>1490</x:v>
      </x:c>
      <x:c r="C27" s="9" t="n">
        <x:v>90.8</x:v>
      </x:c>
      <x:c r="D27" s="9" t="n">
        <x:v>353</x:v>
      </x:c>
      <x:c r="E27" s="9" t="n">
        <x:v>195.3</x:v>
      </x:c>
      <x:c r="F27" s="9" t="n">
        <x:v>365</x:v>
      </x:c>
      <x:c r="G27" s="9" t="n">
        <x:v>187</x:v>
      </x:c>
      <x:c r="H27" s="9" t="n">
        <x:v>140</x:v>
      </x:c>
      <x:c r="I27" s="9" t="n">
        <x:v>123.3</x:v>
      </x:c>
    </x:row>
    <x:row r="28" ht="23" customHeight="1">
      <x:c r="A28" s="8" t="d">
        <x:v>2002-03-01T00:00:00.000Z</x:v>
      </x:c>
      <x:c r="B28" s="9" t="n">
        <x:v>1590</x:v>
      </x:c>
      <x:c r="C28" s="9" t="n">
        <x:v>89.6</x:v>
      </x:c>
      <x:c r="D28" s="9" t="n">
        <x:v>359</x:v>
      </x:c>
      <x:c r="E28" s="9" t="n">
        <x:v>189</x:v>
      </x:c>
      <x:c r="F28" s="9" t="n">
        <x:v>359</x:v>
      </x:c>
      <x:c r="G28" s="9" t="n">
        <x:v>191</x:v>
      </x:c>
      <x:c r="H28" s="9" t="n">
        <x:v>150</x:v>
      </x:c>
      <x:c r="I28" s="9" t="n">
        <x:v>122.5</x:v>
      </x:c>
    </x:row>
    <x:row r="29" ht="23" customHeight="1">
      <x:c r="A29" s="8" t="d">
        <x:v>2002-04-01T00:00:00.000Z</x:v>
      </x:c>
      <x:c r="B29" s="9" t="n">
        <x:v>1570</x:v>
      </x:c>
      <x:c r="C29" s="9" t="n">
        <x:v>87.1</x:v>
      </x:c>
      <x:c r="D29" s="9" t="n">
        <x:v>360</x:v>
      </x:c>
      <x:c r="E29" s="9" t="n">
        <x:v>190.2</x:v>
      </x:c>
      <x:c r="F29" s="9" t="n">
        <x:v>371</x:v>
      </x:c>
      <x:c r="G29" s="9" t="n">
        <x:v>195</x:v>
      </x:c>
      <x:c r="H29" s="9" t="n">
        <x:v>150</x:v>
      </x:c>
      <x:c r="I29" s="9" t="n">
        <x:v>123.7</x:v>
      </x:c>
    </x:row>
    <x:row r="30" ht="23" customHeight="1">
      <x:c r="A30" s="8" t="d">
        <x:v>2002-05-01T00:00:00.000Z</x:v>
      </x:c>
      <x:c r="B30" s="9" t="n">
        <x:v>1600</x:v>
      </x:c>
      <x:c r="C30" s="9" t="n">
        <x:v>90.3</x:v>
      </x:c>
      <x:c r="D30" s="9" t="n">
        <x:v>385</x:v>
      </x:c>
      <x:c r="E30" s="9" t="n">
        <x:v>197.5</x:v>
      </x:c>
      <x:c r="F30" s="9" t="n">
        <x:v>400</x:v>
      </x:c>
      <x:c r="G30" s="9" t="n">
        <x:v>197</x:v>
      </x:c>
      <x:c r="H30" s="9" t="n">
        <x:v>130</x:v>
      </x:c>
      <x:c r="I30" s="9" t="n">
        <x:v>121.5</x:v>
      </x:c>
    </x:row>
    <x:row r="31" ht="23" customHeight="1">
      <x:c r="A31" s="8" t="d">
        <x:v>2002-06-01T00:00:00.000Z</x:v>
      </x:c>
      <x:c r="B31" s="9" t="n">
        <x:v>1660</x:v>
      </x:c>
      <x:c r="C31" s="9" t="n">
        <x:v>94.1</x:v>
      </x:c>
      <x:c r="D31" s="9" t="n">
        <x:v>426</x:v>
      </x:c>
      <x:c r="E31" s="9" t="n">
        <x:v>202.7</x:v>
      </x:c>
      <x:c r="F31" s="9" t="n">
        <x:v>457</x:v>
      </x:c>
      <x:c r="G31" s="9" t="n">
        <x:v>200</x:v>
      </x:c>
      <x:c r="H31" s="9" t="n">
        <x:v>130</x:v>
      </x:c>
      <x:c r="I31" s="9" t="n">
        <x:v>132</x:v>
      </x:c>
    </x:row>
    <x:row r="32" ht="23" customHeight="1">
      <x:c r="A32" s="8" t="d">
        <x:v>2002-07-01T00:00:00.000Z</x:v>
      </x:c>
      <x:c r="B32" s="9" t="n">
        <x:v>1870</x:v>
      </x:c>
      <x:c r="C32" s="9" t="n">
        <x:v>98.7</x:v>
      </x:c>
      <x:c r="D32" s="9" t="n">
        <x:v>422</x:v>
      </x:c>
      <x:c r="E32" s="9" t="n">
        <x:v>199.6</x:v>
      </x:c>
      <x:c r="F32" s="9" t="n">
        <x:v>490</x:v>
      </x:c>
      <x:c r="G32" s="9" t="n">
        <x:v>218</x:v>
      </x:c>
      <x:c r="H32" s="9" t="n">
        <x:v>140</x:v>
      </x:c>
      <x:c r="I32" s="9" t="n">
        <x:v>149.3</x:v>
      </x:c>
    </x:row>
    <x:row r="33" ht="23" customHeight="1">
      <x:c r="A33" s="8" t="d">
        <x:v>2002-08-01T00:00:00.000Z</x:v>
      </x:c>
      <x:c r="B33" s="9" t="n">
        <x:v>1960</x:v>
      </x:c>
      <x:c r="C33" s="9" t="n">
        <x:v>108.9</x:v>
      </x:c>
      <x:c r="D33" s="9" t="n">
        <x:v>446</x:v>
      </x:c>
      <x:c r="E33" s="9" t="n">
        <x:v>190.3</x:v>
      </x:c>
      <x:c r="F33" s="9" t="n">
        <x:v>503</x:v>
      </x:c>
      <x:c r="G33" s="9" t="n">
        <x:v>227</x:v>
      </x:c>
      <x:c r="H33" s="9" t="n">
        <x:v>140</x:v>
      </x:c>
      <x:c r="I33" s="9" t="n">
        <x:v>161.3</x:v>
      </x:c>
    </x:row>
    <x:row r="34" ht="23" customHeight="1">
      <x:c r="A34" s="8" t="d">
        <x:v>2002-09-01T00:00:00.000Z</x:v>
      </x:c>
      <x:c r="B34" s="9" t="n">
        <x:v>2160</x:v>
      </x:c>
      <x:c r="C34" s="9" t="n">
        <x:v>114.1</x:v>
      </x:c>
      <x:c r="D34" s="9" t="n">
        <x:v>425</x:v>
      </x:c>
      <x:c r="E34" s="9" t="n">
        <x:v>186.6</x:v>
      </x:c>
      <x:c r="F34" s="9" t="n">
        <x:v>506</x:v>
      </x:c>
      <x:c r="G34" s="9" t="n">
        <x:v>236</x:v>
      </x:c>
      <x:c r="H34" s="9" t="n">
        <x:v>150</x:v>
      </x:c>
      <x:c r="I34" s="9" t="n">
        <x:v>187.8</x:v>
      </x:c>
    </x:row>
    <x:row r="35" ht="23" customHeight="1">
      <x:c r="A35" s="8" t="d">
        <x:v>2002-10-01T00:00:00.000Z</x:v>
      </x:c>
      <x:c r="B35" s="9" t="n">
        <x:v>2200</x:v>
      </x:c>
      <x:c r="C35" s="9" t="n">
        <x:v>109.7</x:v>
      </x:c>
      <x:c r="D35" s="9" t="n">
        <x:v>427</x:v>
      </x:c>
      <x:c r="E35" s="9" t="n">
        <x:v>186.3</x:v>
      </x:c>
      <x:c r="F35" s="9" t="n">
        <x:v>529</x:v>
      </x:c>
      <x:c r="G35" s="9" t="n">
        <x:v>229</x:v>
      </x:c>
      <x:c r="H35" s="9" t="n">
        <x:v>170</x:v>
      </x:c>
      <x:c r="I35" s="9" t="n">
        <x:v>190.3</x:v>
      </x:c>
    </x:row>
    <x:row r="36" ht="23" customHeight="1">
      <x:c r="A36" s="8" t="d">
        <x:v>2002-11-01T00:00:00.000Z</x:v>
      </x:c>
      <x:c r="B36" s="9" t="n">
        <x:v>1810</x:v>
      </x:c>
      <x:c r="C36" s="9" t="n">
        <x:v>108.9</x:v>
      </x:c>
      <x:c r="D36" s="9" t="n">
        <x:v>465</x:v>
      </x:c>
      <x:c r="E36" s="9" t="n">
        <x:v>186.8</x:v>
      </x:c>
      <x:c r="F36" s="9" t="n">
        <x:v>582</x:v>
      </x:c>
      <x:c r="G36" s="9" t="n">
        <x:v>243</x:v>
      </x:c>
      <x:c r="H36" s="9" t="n">
        <x:v>170</x:v>
      </x:c>
      <x:c r="I36" s="9" t="n">
        <x:v>177.4</x:v>
      </x:c>
    </x:row>
    <x:row r="37" ht="23" customHeight="1">
      <x:c r="A37" s="8" t="d">
        <x:v>2002-12-01T00:00:00.000Z</x:v>
      </x:c>
      <x:c r="B37" s="9" t="n">
        <x:v>2030</x:v>
      </x:c>
      <x:c r="C37" s="9" t="n">
        <x:v>107</x:v>
      </x:c>
      <x:c r="D37" s="9" t="n">
        <x:v>489</x:v>
      </x:c>
      <x:c r="E37" s="9" t="n">
        <x:v>186.5</x:v>
      </x:c>
      <x:c r="F37" s="9" t="n">
        <x:v>591</x:v>
      </x:c>
      <x:c r="G37" s="9" t="n">
        <x:v>241</x:v>
      </x:c>
      <x:c r="H37" s="9" t="n">
        <x:v>180</x:v>
      </x:c>
      <x:c r="I37" s="9" t="n">
        <x:v>162.5</x:v>
      </x:c>
    </x:row>
    <x:row r="38" ht="23" customHeight="1">
      <x:c r="A38" s="8" t="d">
        <x:v>2003-01-01T00:00:00.000Z</x:v>
      </x:c>
      <x:c r="B38" s="9" t="n">
        <x:v>2180</x:v>
      </x:c>
      <x:c r="C38" s="9" t="n">
        <x:v>106.1</x:v>
      </x:c>
      <x:c r="D38" s="9" t="n">
        <x:v>486</x:v>
      </x:c>
      <x:c r="E38" s="9" t="n">
        <x:v>200.8</x:v>
      </x:c>
      <x:c r="F38" s="9" t="n">
        <x:v>541</x:v>
      </x:c>
      <x:c r="G38" s="9" t="n">
        <x:v>244</x:v>
      </x:c>
      <x:c r="H38" s="9" t="n">
        <x:v>180</x:v>
      </x:c>
      <x:c r="I38" s="9" t="n">
        <x:v>149.6</x:v>
      </x:c>
    </x:row>
    <x:row r="39" ht="23" customHeight="1">
      <x:c r="A39" s="8" t="d">
        <x:v>2003-02-01T00:00:00.000Z</x:v>
      </x:c>
      <x:c r="B39" s="9" t="n">
        <x:v>2280</x:v>
      </x:c>
      <x:c r="C39" s="9" t="n">
        <x:v>105.9</x:v>
      </x:c>
      <x:c r="D39" s="9" t="n">
        <x:v>477</x:v>
      </x:c>
      <x:c r="E39" s="9" t="n">
        <x:v>198.8</x:v>
      </x:c>
      <x:c r="F39" s="9" t="n">
        <x:v>522</x:v>
      </x:c>
      <x:c r="G39" s="9" t="n">
        <x:v>243</x:v>
      </x:c>
      <x:c r="H39" s="9" t="n">
        <x:v>200</x:v>
      </x:c>
      <x:c r="I39" s="9" t="n">
        <x:v>150.8</x:v>
      </x:c>
    </x:row>
    <x:row r="40" ht="23" customHeight="1">
      <x:c r="A40" s="8" t="d">
        <x:v>2003-03-01T00:00:00.000Z</x:v>
      </x:c>
      <x:c r="B40" s="9" t="n">
        <x:v>1950</x:v>
      </x:c>
      <x:c r="C40" s="9" t="n">
        <x:v>105.6</x:v>
      </x:c>
      <x:c r="D40" s="9" t="n">
        <x:v>454</x:v>
      </x:c>
      <x:c r="E40" s="9" t="n">
        <x:v>197</x:v>
      </x:c>
      <x:c r="F40" s="9" t="n">
        <x:v>523</x:v>
      </x:c>
      <x:c r="G40" s="9" t="n">
        <x:v>241</x:v>
      </x:c>
      <x:c r="H40" s="9" t="n">
        <x:v>180</x:v>
      </x:c>
      <x:c r="I40" s="9" t="n">
        <x:v>141.8</x:v>
      </x:c>
    </x:row>
    <x:row r="41" ht="23" customHeight="1">
      <x:c r="A41" s="8" t="d">
        <x:v>2003-04-01T00:00:00.000Z</x:v>
      </x:c>
      <x:c r="B41" s="9" t="n">
        <x:v>1920</x:v>
      </x:c>
      <x:c r="C41" s="9" t="n">
        <x:v>105.5</x:v>
      </x:c>
      <x:c r="D41" s="9" t="n">
        <x:v>443</x:v>
      </x:c>
      <x:c r="E41" s="9" t="n">
        <x:v>195</x:v>
      </x:c>
      <x:c r="F41" s="9" t="n">
        <x:v>541</x:v>
      </x:c>
      <x:c r="G41" s="9" t="n">
        <x:v>251</x:v>
      </x:c>
      <x:c r="H41" s="9" t="n">
        <x:v>170</x:v>
      </x:c>
      <x:c r="I41" s="9" t="n">
        <x:v>138.6</x:v>
      </x:c>
    </x:row>
    <x:row r="42" ht="23" customHeight="1">
      <x:c r="A42" s="8" t="d">
        <x:v>2003-05-01T00:00:00.000Z</x:v>
      </x:c>
      <x:c r="B42" s="9" t="n">
        <x:v>1740</x:v>
      </x:c>
      <x:c r="C42" s="9" t="n">
        <x:v>107.5</x:v>
      </x:c>
      <x:c r="D42" s="9" t="n">
        <x:v>454</x:v>
      </x:c>
      <x:c r="E42" s="9" t="n">
        <x:v>198</x:v>
      </x:c>
      <x:c r="F42" s="9" t="n">
        <x:v>549</x:v>
      </x:c>
      <x:c r="G42" s="9" t="n">
        <x:v>250</x:v>
      </x:c>
      <x:c r="H42" s="9" t="n">
        <x:v>160</x:v>
      </x:c>
      <x:c r="I42" s="9" t="n">
        <x:v>142</x:v>
      </x:c>
    </x:row>
    <x:row r="43" ht="23" customHeight="1">
      <x:c r="A43" s="8" t="d">
        <x:v>2003-06-01T00:00:00.000Z</x:v>
      </x:c>
      <x:c r="B43" s="9" t="n">
        <x:v>1570</x:v>
      </x:c>
      <x:c r="C43" s="9" t="n">
        <x:v>107.3</x:v>
      </x:c>
      <x:c r="D43" s="9" t="n">
        <x:v>466</x:v>
      </x:c>
      <x:c r="E43" s="9" t="n">
        <x:v>203.4</x:v>
      </x:c>
      <x:c r="F43" s="9" t="n">
        <x:v>546</x:v>
      </x:c>
      <x:c r="G43" s="9" t="n">
        <x:v>239</x:v>
      </x:c>
      <x:c r="H43" s="9" t="n">
        <x:v>150</x:v>
      </x:c>
      <x:c r="I43" s="9" t="n">
        <x:v>131.4</x:v>
      </x:c>
    </x:row>
    <x:row r="44" ht="23" customHeight="1">
      <x:c r="A44" s="8" t="d">
        <x:v>2003-07-01T00:00:00.000Z</x:v>
      </x:c>
      <x:c r="B44" s="9" t="n">
        <x:v>1560</x:v>
      </x:c>
      <x:c r="C44" s="9" t="n">
        <x:v>96.8</x:v>
      </x:c>
      <x:c r="D44" s="9" t="n">
        <x:v>458</x:v>
      </x:c>
      <x:c r="E44" s="9" t="n">
        <x:v>198.5</x:v>
      </x:c>
      <x:c r="F44" s="9" t="n">
        <x:v>531</x:v>
      </x:c>
      <x:c r="G44" s="9" t="n">
        <x:v>230</x:v>
      </x:c>
      <x:c r="H44" s="9" t="n">
        <x:v>150</x:v>
      </x:c>
      <x:c r="I44" s="9" t="n">
        <x:v>131.6</x:v>
      </x:c>
    </x:row>
    <x:row r="45" ht="23" customHeight="1">
      <x:c r="A45" s="8" t="d">
        <x:v>2003-08-01T00:00:00.000Z</x:v>
      </x:c>
      <x:c r="B45" s="9" t="n">
        <x:v>1550</x:v>
      </x:c>
      <x:c r="C45" s="9" t="n">
        <x:v>100.7</x:v>
      </x:c>
      <x:c r="D45" s="9" t="n">
        <x:v>439</x:v>
      </x:c>
      <x:c r="E45" s="9" t="n">
        <x:v>195</x:v>
      </x:c>
      <x:c r="F45" s="9" t="n">
        <x:v>516</x:v>
      </x:c>
      <x:c r="G45" s="9" t="n">
        <x:v>237</x:v>
      </x:c>
      <x:c r="H45" s="9" t="n">
        <x:v>150</x:v>
      </x:c>
      <x:c r="I45" s="9" t="n">
        <x:v>148.7</x:v>
      </x:c>
    </x:row>
    <x:row r="46" ht="23" customHeight="1">
      <x:c r="A46" s="8" t="d">
        <x:v>2003-09-01T00:00:00.000Z</x:v>
      </x:c>
      <x:c r="B46" s="9" t="n">
        <x:v>1640</x:v>
      </x:c>
      <x:c r="C46" s="9" t="n">
        <x:v>104.1</x:v>
      </x:c>
      <x:c r="D46" s="9" t="n">
        <x:v>441</x:v>
      </x:c>
      <x:c r="E46" s="9" t="n">
        <x:v>197.6</x:v>
      </x:c>
      <x:c r="F46" s="9" t="n">
        <x:v>558</x:v>
      </x:c>
      <x:c r="G46" s="9" t="n">
        <x:v>264</x:v>
      </x:c>
      <x:c r="H46" s="9" t="n">
        <x:v>130</x:v>
      </x:c>
      <x:c r="I46" s="9" t="n">
        <x:v>145.6</x:v>
      </x:c>
    </x:row>
    <x:row r="47" ht="23" customHeight="1">
      <x:c r="A47" s="8" t="d">
        <x:v>2003-10-01T00:00:00.000Z</x:v>
      </x:c>
      <x:c r="B47" s="9" t="n">
        <x:v>1480</x:v>
      </x:c>
      <x:c r="C47" s="9" t="n">
        <x:v>105.4</x:v>
      </x:c>
      <x:c r="D47" s="9" t="n">
        <x:v>515</x:v>
      </x:c>
      <x:c r="E47" s="9" t="n">
        <x:v>195.8</x:v>
      </x:c>
      <x:c r="F47" s="9" t="n">
        <x:v>608</x:v>
      </x:c>
      <x:c r="G47" s="9" t="n">
        <x:v>310</x:v>
      </x:c>
      <x:c r="H47" s="9" t="n">
        <x:v>130</x:v>
      </x:c>
      <x:c r="I47" s="9" t="n">
        <x:v>147.5</x:v>
      </x:c>
    </x:row>
    <x:row r="48" ht="23" customHeight="1">
      <x:c r="A48" s="8" t="d">
        <x:v>2003-11-01T00:00:00.000Z</x:v>
      </x:c>
      <x:c r="B48" s="9" t="n">
        <x:v>1510</x:v>
      </x:c>
      <x:c r="C48" s="9" t="n">
        <x:v>108.5</x:v>
      </x:c>
      <x:c r="D48" s="9" t="n">
        <x:v>548</x:v>
      </x:c>
      <x:c r="E48" s="9" t="n">
        <x:v>193.4</x:v>
      </x:c>
      <x:c r="F48" s="9" t="n">
        <x:v>631</x:v>
      </x:c>
      <x:c r="G48" s="9" t="n">
        <x:v>327</x:v>
      </x:c>
      <x:c r="H48" s="9" t="n">
        <x:v>130</x:v>
      </x:c>
      <x:c r="I48" s="9" t="n">
        <x:v>160.5</x:v>
      </x:c>
    </x:row>
    <x:row r="49" ht="23" customHeight="1">
      <x:c r="A49" s="8" t="d">
        <x:v>2003-12-01T00:00:00.000Z</x:v>
      </x:c>
      <x:c r="B49" s="9" t="n">
        <x:v>1630</x:v>
      </x:c>
      <x:c r="C49" s="9" t="n">
        <x:v>111.2</x:v>
      </x:c>
      <x:c r="D49" s="9" t="n">
        <x:v>540</x:v>
      </x:c>
      <x:c r="E49" s="9" t="n">
        <x:v>198.3</x:v>
      </x:c>
      <x:c r="F49" s="9" t="n">
        <x:v>637</x:v>
      </x:c>
      <x:c r="G49" s="9" t="n">
        <x:v>332</x:v>
      </x:c>
      <x:c r="H49" s="9" t="n">
        <x:v>140</x:v>
      </x:c>
      <x:c r="I49" s="9" t="n">
        <x:v>165.6</x:v>
      </x:c>
    </x:row>
    <x:row r="50" ht="23" customHeight="1">
      <x:c r="A50" s="8" t="d">
        <x:v>2004-01-01T00:00:00.000Z</x:v>
      </x:c>
      <x:c r="B50" s="9" t="n">
        <x:v>1630</x:v>
      </x:c>
      <x:c r="C50" s="9" t="n">
        <x:v>115.5</x:v>
      </x:c>
      <x:c r="D50" s="9" t="n">
        <x:v>527</x:v>
      </x:c>
      <x:c r="E50" s="9" t="n">
        <x:v>212.8</x:v>
      </x:c>
      <x:c r="F50" s="9" t="n">
        <x:v>657</x:v>
      </x:c>
      <x:c r="G50" s="9" t="n">
        <x:v>350</x:v>
      </x:c>
      <x:c r="H50" s="9" t="n">
        <x:v>130</x:v>
      </x:c>
      <x:c r="I50" s="9" t="n">
        <x:v>166.3</x:v>
      </x:c>
    </x:row>
    <x:row r="51" ht="23" customHeight="1">
      <x:c r="A51" s="8" t="d">
        <x:v>2004-02-01T00:00:00.000Z</x:v>
      </x:c>
      <x:c r="B51" s="9" t="n">
        <x:v>1570</x:v>
      </x:c>
      <x:c r="C51" s="9" t="n">
        <x:v>123.5</x:v>
      </x:c>
      <x:c r="D51" s="9" t="n">
        <x:v>564</x:v>
      </x:c>
      <x:c r="E51" s="9" t="n">
        <x:v>213.3</x:v>
      </x:c>
      <x:c r="F51" s="9" t="n">
        <x:v>682</x:v>
      </x:c>
      <x:c r="G51" s="9" t="n">
        <x:v>368</x:v>
      </x:c>
      <x:c r="H51" s="9" t="n">
        <x:v>130</x:v>
      </x:c>
      <x:c r="I51" s="9" t="n">
        <x:v>161.4</x:v>
      </x:c>
    </x:row>
    <x:row r="52" ht="23" customHeight="1">
      <x:c r="A52" s="8" t="d">
        <x:v>2004-03-01T00:00:00.000Z</x:v>
      </x:c>
      <x:c r="B52" s="9" t="n">
        <x:v>1500</x:v>
      </x:c>
      <x:c r="C52" s="9" t="n">
        <x:v>127.8</x:v>
      </x:c>
      <x:c r="D52" s="9" t="n">
        <x:v>584</x:v>
      </x:c>
      <x:c r="E52" s="9" t="n">
        <x:v>237.8</x:v>
      </x:c>
      <x:c r="F52" s="9" t="n">
        <x:v>689</x:v>
      </x:c>
      <x:c r="G52" s="9" t="n">
        <x:v>413</x:v>
      </x:c>
      <x:c r="H52" s="9" t="n">
        <x:v>140</x:v>
      </x:c>
      <x:c r="I52" s="9" t="n">
        <x:v>166.3</x:v>
      </x:c>
    </x:row>
    <x:row r="53" ht="23" customHeight="1">
      <x:c r="A53" s="8" t="d">
        <x:v>2004-04-01T00:00:00.000Z</x:v>
      </x:c>
      <x:c r="B53" s="9" t="n">
        <x:v>1440</x:v>
      </x:c>
      <x:c r="C53" s="9" t="n">
        <x:v>133.5</x:v>
      </x:c>
      <x:c r="D53" s="9" t="n">
        <x:v>575</x:v>
      </x:c>
      <x:c r="E53" s="9" t="n">
        <x:v>240.8</x:v>
      </x:c>
      <x:c r="F53" s="9" t="n">
        <x:v>672</x:v>
      </x:c>
      <x:c r="G53" s="9" t="n">
        <x:v>358</x:v>
      </x:c>
      <x:c r="H53" s="9" t="n">
        <x:v>150</x:v>
      </x:c>
      <x:c r="I53" s="9" t="n">
        <x:v>166.6</x:v>
      </x:c>
    </x:row>
    <x:row r="54" ht="23" customHeight="1">
      <x:c r="A54" s="8" t="d">
        <x:v>2004-05-01T00:00:00.000Z</x:v>
      </x:c>
      <x:c r="B54" s="9" t="n">
        <x:v>1420</x:v>
      </x:c>
      <x:c r="C54" s="9" t="n">
        <x:v>128.2</x:v>
      </x:c>
      <x:c r="D54" s="9" t="n">
        <x:v>537</x:v>
      </x:c>
      <x:c r="E54" s="9" t="n">
        <x:v>232</x:v>
      </x:c>
      <x:c r="F54" s="9" t="n">
        <x:v>628</x:v>
      </x:c>
      <x:c r="G54" s="9" t="n">
        <x:v>316</x:v>
      </x:c>
      <x:c r="H54" s="9" t="n">
        <x:v>140</x:v>
      </x:c>
      <x:c r="I54" s="9" t="n">
        <x:v>163.7</x:v>
      </x:c>
    </x:row>
    <x:row r="55" ht="23" customHeight="1">
      <x:c r="A55" s="8" t="d">
        <x:v>2004-06-01T00:00:00.000Z</x:v>
      </x:c>
      <x:c r="B55" s="9" t="n">
        <x:v>1400</x:v>
      </x:c>
      <x:c r="C55" s="9" t="n">
        <x:v>123.3</x:v>
      </x:c>
      <x:c r="D55" s="9" t="n">
        <x:v>471</x:v>
      </x:c>
      <x:c r="E55" s="9" t="n">
        <x:v>229</x:v>
      </x:c>
      <x:c r="F55" s="9" t="n">
        <x:v>582</x:v>
      </x:c>
      <x:c r="G55" s="9" t="n">
        <x:v>295</x:v>
      </x:c>
      <x:c r="H55" s="9" t="n">
        <x:v>150</x:v>
      </x:c>
      <x:c r="I55" s="9" t="n">
        <x:v>154.7</x:v>
      </x:c>
    </x:row>
    <x:row r="56" ht="23" customHeight="1">
      <x:c r="A56" s="8" t="d">
        <x:v>2004-07-01T00:00:00.000Z</x:v>
      </x:c>
      <x:c r="B56" s="9" t="n">
        <x:v>1560</x:v>
      </x:c>
      <x:c r="C56" s="9" t="n">
        <x:v>104.8</x:v>
      </x:c>
      <x:c r="D56" s="9" t="n">
        <x:v>455</x:v>
      </x:c>
      <x:c r="E56" s="9" t="n">
        <x:v>230.8</x:v>
      </x:c>
      <x:c r="F56" s="9" t="n">
        <x:v>605</x:v>
      </x:c>
      <x:c r="G56" s="9" t="n">
        <x:v>279</x:v>
      </x:c>
      <x:c r="H56" s="9" t="n">
        <x:v>170</x:v>
      </x:c>
      <x:c r="I56" s="9" t="n">
        <x:v>150.6</x:v>
      </x:c>
    </x:row>
    <x:row r="57" ht="23" customHeight="1">
      <x:c r="A57" s="8" t="d">
        <x:v>2004-08-01T00:00:00.000Z</x:v>
      </x:c>
      <x:c r="B57" s="9" t="n">
        <x:v>1730</x:v>
      </x:c>
      <x:c r="C57" s="9" t="n">
        <x:v>104.1</x:v>
      </x:c>
      <x:c r="D57" s="9" t="n">
        <x:v>458</x:v>
      </x:c>
      <x:c r="E57" s="9" t="n">
        <x:v>239</x:v>
      </x:c>
      <x:c r="F57" s="9" t="n">
        <x:v>605</x:v>
      </x:c>
      <x:c r="G57" s="9" t="n">
        <x:v>265</x:v>
      </x:c>
      <x:c r="H57" s="9" t="n">
        <x:v>170</x:v>
      </x:c>
      <x:c r="I57" s="9" t="n">
        <x:v>141.3</x:v>
      </x:c>
    </x:row>
    <x:row r="58" ht="23" customHeight="1">
      <x:c r="A58" s="8" t="d">
        <x:v>2004-09-01T00:00:00.000Z</x:v>
      </x:c>
      <x:c r="B58" s="9" t="n">
        <x:v>1550</x:v>
      </x:c>
      <x:c r="C58" s="9" t="n">
        <x:v>97.9</x:v>
      </x:c>
      <x:c r="D58" s="9" t="n">
        <x:v>468</x:v>
      </x:c>
      <x:c r="E58" s="9" t="n">
        <x:v>235.3</x:v>
      </x:c>
      <x:c r="F58" s="9" t="n">
        <x:v>602</x:v>
      </x:c>
      <x:c r="G58" s="9" t="n">
        <x:v>260</x:v>
      </x:c>
      <x:c r="H58" s="9" t="n">
        <x:v>170</x:v>
      </x:c>
      <x:c r="I58" s="9" t="n">
        <x:v>151</x:v>
      </x:c>
    </x:row>
    <x:row r="59" ht="23" customHeight="1">
      <x:c r="A59" s="8" t="d">
        <x:v>2004-10-01T00:00:00.000Z</x:v>
      </x:c>
      <x:c r="B59" s="9" t="n">
        <x:v>1480</x:v>
      </x:c>
      <x:c r="C59" s="9" t="n">
        <x:v>93.8</x:v>
      </x:c>
      <x:c r="D59" s="9" t="n">
        <x:v>451</x:v>
      </x:c>
      <x:c r="E59" s="9" t="n">
        <x:v>244</x:v>
      </x:c>
      <x:c r="F59" s="9" t="n">
        <x:v>583</x:v>
      </x:c>
      <x:c r="G59" s="9" t="n">
        <x:v>249</x:v>
      </x:c>
      <x:c r="H59" s="9" t="n">
        <x:v>190</x:v>
      </x:c>
      <x:c r="I59" s="9" t="n">
        <x:v>150.1</x:v>
      </x:c>
    </x:row>
    <x:row r="60" ht="23" customHeight="1">
      <x:c r="A60" s="8" t="d">
        <x:v>2004-11-01T00:00:00.000Z</x:v>
      </x:c>
      <x:c r="B60" s="9" t="n">
        <x:v>1660</x:v>
      </x:c>
      <x:c r="C60" s="9" t="n">
        <x:v>93.7</x:v>
      </x:c>
      <x:c r="D60" s="9" t="n">
        <x:v>455</x:v>
      </x:c>
      <x:c r="E60" s="9" t="n">
        <x:v>259.2</x:v>
      </x:c>
      <x:c r="F60" s="9" t="n">
        <x:v>561</x:v>
      </x:c>
      <x:c r="G60" s="9" t="n">
        <x:v>260</x:v>
      </x:c>
      <x:c r="H60" s="9" t="n">
        <x:v>180</x:v>
      </x:c>
      <x:c r="I60" s="9" t="n">
        <x:v>156.6</x:v>
      </x:c>
    </x:row>
    <x:row r="61" ht="23" customHeight="1">
      <x:c r="A61" s="8" t="d">
        <x:v>2004-12-01T00:00:00.000Z</x:v>
      </x:c>
      <x:c r="B61" s="9" t="n">
        <x:v>1660</x:v>
      </x:c>
      <x:c r="C61" s="9" t="n">
        <x:v>95.4</x:v>
      </x:c>
      <x:c r="D61" s="9" t="n">
        <x:v>446</x:v>
      </x:c>
      <x:c r="E61" s="9" t="n">
        <x:v>278.3</x:v>
      </x:c>
      <x:c r="F61" s="9" t="n">
        <x:v>552</x:v>
      </x:c>
      <x:c r="G61" s="9" t="n">
        <x:v>265</x:v>
      </x:c>
      <x:c r="H61" s="9" t="n">
        <x:v>180</x:v>
      </x:c>
      <x:c r="I61" s="9" t="n">
        <x:v>153.9</x:v>
      </x:c>
    </x:row>
    <x:row r="62" ht="23" customHeight="1">
      <x:c r="A62" s="8" t="d">
        <x:v>2005-01-01T00:00:00.000Z</x:v>
      </x:c>
      <x:c r="B62" s="9" t="n">
        <x:v>1550</x:v>
      </x:c>
      <x:c r="C62" s="9" t="n">
        <x:v>96.3</x:v>
      </x:c>
      <x:c r="D62" s="9" t="n">
        <x:v>419</x:v>
      </x:c>
      <x:c r="E62" s="9" t="n">
        <x:v>287</x:v>
      </x:c>
      <x:c r="F62" s="9" t="n">
        <x:v>520</x:v>
      </x:c>
      <x:c r="G62" s="9" t="n">
        <x:v>262</x:v>
      </x:c>
      <x:c r="H62" s="9" t="n">
        <x:v>190</x:v>
      </x:c>
      <x:c r="I62" s="9" t="n">
        <x:v>153.6</x:v>
      </x:c>
    </x:row>
    <x:row r="63" ht="23" customHeight="1">
      <x:c r="A63" s="8" t="d">
        <x:v>2005-02-01T00:00:00.000Z</x:v>
      </x:c>
      <x:c r="B63" s="9" t="n">
        <x:v>1630</x:v>
      </x:c>
      <x:c r="C63" s="9" t="n">
        <x:v>94.1</x:v>
      </x:c>
      <x:c r="D63" s="9" t="n">
        <x:v>423</x:v>
      </x:c>
      <x:c r="E63" s="9" t="n">
        <x:v>290</x:v>
      </x:c>
      <x:c r="F63" s="9" t="n">
        <x:v>496</x:v>
      </x:c>
      <x:c r="G63" s="9" t="n">
        <x:v>261</x:v>
      </x:c>
      <x:c r="H63" s="9" t="n">
        <x:v>200</x:v>
      </x:c>
      <x:c r="I63" s="9" t="n">
        <x:v>151.2</x:v>
      </x:c>
    </x:row>
    <x:row r="64" ht="23" customHeight="1">
      <x:c r="A64" s="8" t="d">
        <x:v>2005-03-01T00:00:00.000Z</x:v>
      </x:c>
      <x:c r="B64" s="9" t="n">
        <x:v>1760</x:v>
      </x:c>
      <x:c r="C64" s="9" t="n">
        <x:v>99.9</x:v>
      </x:c>
      <x:c r="D64" s="9" t="n">
        <x:v>458</x:v>
      </x:c>
      <x:c r="E64" s="9" t="n">
        <x:v>292.8</x:v>
      </x:c>
      <x:c r="F64" s="9" t="n">
        <x:v>544</x:v>
      </x:c>
      <x:c r="G64" s="9" t="n">
        <x:v>290</x:v>
      </x:c>
      <x:c r="H64" s="9" t="n">
        <x:v>200</x:v>
      </x:c>
      <x:c r="I64" s="9" t="n">
        <x:v>151</x:v>
      </x:c>
    </x:row>
    <x:row r="65" ht="23" customHeight="1">
      <x:c r="A65" s="8" t="d">
        <x:v>2005-04-01T00:00:00.000Z</x:v>
      </x:c>
      <x:c r="B65" s="9" t="n">
        <x:v>1590</x:v>
      </x:c>
      <x:c r="C65" s="9" t="n">
        <x:v>96.3</x:v>
      </x:c>
      <x:c r="D65" s="9" t="n">
        <x:v>458</x:v>
      </x:c>
      <x:c r="E65" s="9" t="n">
        <x:v>297.3</x:v>
      </x:c>
      <x:c r="F65" s="9" t="n">
        <x:v>546</x:v>
      </x:c>
      <x:c r="G65" s="9" t="n">
        <x:v>283</x:v>
      </x:c>
      <x:c r="H65" s="9" t="n">
        <x:v>190</x:v>
      </x:c>
      <x:c r="I65" s="9" t="n">
        <x:v>140.9</x:v>
      </x:c>
    </x:row>
    <x:row r="66" ht="23" customHeight="1">
      <x:c r="A66" s="8" t="d">
        <x:v>2005-05-01T00:00:00.000Z</x:v>
      </x:c>
      <x:c r="B66" s="9" t="n">
        <x:v>1510</x:v>
      </x:c>
      <x:c r="C66" s="9" t="n">
        <x:v>95.4</x:v>
      </x:c>
      <x:c r="D66" s="9" t="n">
        <x:v>450</x:v>
      </x:c>
      <x:c r="E66" s="9" t="n">
        <x:v>293.8</x:v>
      </x:c>
      <x:c r="F66" s="9" t="n">
        <x:v>538</x:v>
      </x:c>
      <x:c r="G66" s="9" t="n">
        <x:v>283</x:v>
      </x:c>
      <x:c r="H66" s="9" t="n">
        <x:v>190</x:v>
      </x:c>
      <x:c r="I66" s="9" t="n">
        <x:v>143.3</x:v>
      </x:c>
    </x:row>
    <x:row r="67" ht="23" customHeight="1">
      <x:c r="A67" s="8" t="d">
        <x:v>2005-06-01T00:00:00.000Z</x:v>
      </x:c>
      <x:c r="B67" s="9" t="n">
        <x:v>1540</x:v>
      </x:c>
      <x:c r="C67" s="9" t="n">
        <x:v>97.1</x:v>
      </x:c>
      <x:c r="D67" s="9" t="n">
        <x:v>452</x:v>
      </x:c>
      <x:c r="E67" s="9" t="n">
        <x:v>285</x:v>
      </x:c>
      <x:c r="F67" s="9" t="n">
        <x:v>560</x:v>
      </x:c>
      <x:c r="G67" s="9" t="n">
        <x:v>306</x:v>
      </x:c>
      <x:c r="H67" s="9" t="n">
        <x:v>200</x:v>
      </x:c>
      <x:c r="I67" s="9" t="n">
        <x:v>141.9</x:v>
      </x:c>
    </x:row>
    <x:row r="68" ht="23" customHeight="1">
      <x:c r="A68" s="8" t="d">
        <x:v>2005-07-01T00:00:00.000Z</x:v>
      </x:c>
      <x:c r="B68" s="9" t="n">
        <x:v>1490</x:v>
      </x:c>
      <x:c r="C68" s="9" t="n">
        <x:v>107.5</x:v>
      </x:c>
      <x:c r="D68" s="9" t="n">
        <x:v>455</x:v>
      </x:c>
      <x:c r="E68" s="9" t="n">
        <x:v>276.8</x:v>
      </x:c>
      <x:c r="F68" s="9" t="n">
        <x:v>561</x:v>
      </x:c>
      <x:c r="G68" s="9" t="n">
        <x:v>298</x:v>
      </x:c>
      <x:c r="H68" s="9" t="n">
        <x:v>210</x:v>
      </x:c>
      <x:c r="I68" s="9" t="n">
        <x:v>143.9</x:v>
      </x:c>
    </x:row>
    <x:row r="69" ht="23" customHeight="1">
      <x:c r="A69" s="8" t="d">
        <x:v>2005-08-01T00:00:00.000Z</x:v>
      </x:c>
      <x:c r="B69" s="9" t="n">
        <x:v>1480</x:v>
      </x:c>
      <x:c r="C69" s="9" t="n">
        <x:v>101.7</x:v>
      </x:c>
      <x:c r="D69" s="9" t="n">
        <x:v>448</x:v>
      </x:c>
      <x:c r="E69" s="9" t="n">
        <x:v>282.8</x:v>
      </x:c>
      <x:c r="F69" s="9" t="n">
        <x:v>550</x:v>
      </x:c>
      <x:c r="G69" s="9" t="n">
        <x:v>274</x:v>
      </x:c>
      <x:c r="H69" s="9" t="n">
        <x:v>220</x:v>
      </x:c>
      <x:c r="I69" s="9" t="n">
        <x:v>149.4</x:v>
      </x:c>
    </x:row>
    <x:row r="70" ht="23" customHeight="1">
      <x:c r="A70" s="8" t="d">
        <x:v>2005-09-01T00:00:00.000Z</x:v>
      </x:c>
      <x:c r="B70" s="9" t="n">
        <x:v>1500</x:v>
      </x:c>
      <x:c r="C70" s="9" t="n">
        <x:v>96.4</x:v>
      </x:c>
      <x:c r="D70" s="9" t="n">
        <x:v>454</x:v>
      </x:c>
      <x:c r="E70" s="9" t="n">
        <x:v>285.3</x:v>
      </x:c>
      <x:c r="F70" s="9" t="n">
        <x:v>545</x:v>
      </x:c>
      <x:c r="G70" s="9" t="n">
        <x:v>263</x:v>
      </x:c>
      <x:c r="H70" s="9" t="n">
        <x:v>230</x:v>
      </x:c>
      <x:c r="I70" s="9" t="n">
        <x:v>159.7</x:v>
      </x:c>
    </x:row>
    <x:row r="71" ht="23" customHeight="1">
      <x:c r="A71" s="8" t="d">
        <x:v>2005-10-01T00:00:00.000Z</x:v>
      </x:c>
      <x:c r="B71" s="9" t="n">
        <x:v>1460</x:v>
      </x:c>
      <x:c r="C71" s="9" t="n">
        <x:v>101.9</x:v>
      </x:c>
      <x:c r="D71" s="9" t="n">
        <x:v>468</x:v>
      </x:c>
      <x:c r="E71" s="9" t="n">
        <x:v>286.4</x:v>
      </x:c>
      <x:c r="F71" s="9" t="n">
        <x:v>579</x:v>
      </x:c>
      <x:c r="G71" s="9" t="n">
        <x:v>257</x:v>
      </x:c>
      <x:c r="H71" s="9" t="n">
        <x:v>250</x:v>
      </x:c>
      <x:c r="I71" s="9" t="n">
        <x:v>167.8</x:v>
      </x:c>
    </x:row>
    <x:row r="72" ht="23" customHeight="1">
      <x:c r="A72" s="8" t="d">
        <x:v>2005-11-01T00:00:00.000Z</x:v>
      </x:c>
      <x:c r="B72" s="9" t="n">
        <x:v>1440</x:v>
      </x:c>
      <x:c r="C72" s="9" t="n">
        <x:v>95.4</x:v>
      </x:c>
      <x:c r="D72" s="9" t="n">
        <x:v>467</x:v>
      </x:c>
      <x:c r="E72" s="9" t="n">
        <x:v>277.8</x:v>
      </x:c>
      <x:c r="F72" s="9" t="n">
        <x:v>559</x:v>
      </x:c>
      <x:c r="G72" s="9" t="n">
        <x:v>256</x:v>
      </x:c>
      <x:c r="H72" s="9" t="n">
        <x:v>250</x:v>
      </x:c>
      <x:c r="I72" s="9" t="n">
        <x:v>161.1</x:v>
      </x:c>
    </x:row>
    <x:row r="73" ht="23" customHeight="1">
      <x:c r="A73" s="8" t="d">
        <x:v>2005-12-01T00:00:00.000Z</x:v>
      </x:c>
      <x:c r="B73" s="9" t="n">
        <x:v>1510</x:v>
      </x:c>
      <x:c r="C73" s="9" t="n">
        <x:v>102.1</x:v>
      </x:c>
      <x:c r="D73" s="9" t="n">
        <x:v>457</x:v>
      </x:c>
      <x:c r="E73" s="9" t="n">
        <x:v>280.5</x:v>
      </x:c>
      <x:c r="F73" s="9" t="n">
        <x:v>538</x:v>
      </x:c>
      <x:c r="G73" s="9" t="n">
        <x:v>264</x:v>
      </x:c>
      <x:c r="H73" s="9" t="n">
        <x:v>290</x:v>
      </x:c>
      <x:c r="I73" s="9" t="n">
        <x:v>164.4</x:v>
      </x:c>
    </x:row>
    <x:row r="74" ht="23" customHeight="1">
      <x:c r="A74" s="8" t="d">
        <x:v>2006-01-01T00:00:00.000Z</x:v>
      </x:c>
      <x:c r="B74" s="9" t="n">
        <x:v>1570</x:v>
      </x:c>
      <x:c r="C74" s="9" t="n">
        <x:v>102.7</x:v>
      </x:c>
      <x:c r="D74" s="9" t="n">
        <x:v>459</x:v>
      </x:c>
      <x:c r="E74" s="9" t="n">
        <x:v>291.3</x:v>
      </x:c>
      <x:c r="F74" s="9" t="n">
        <x:v>536</x:v>
      </x:c>
      <x:c r="G74" s="9" t="n">
        <x:v>257</x:v>
      </x:c>
      <x:c r="H74" s="9" t="n">
        <x:v>350</x:v>
      </x:c>
      <x:c r="I74" s="9" t="n">
        <x:v>167.2</x:v>
      </x:c>
    </x:row>
    <x:row r="75" ht="23" customHeight="1">
      <x:c r="A75" s="8" t="d">
        <x:v>2006-02-01T00:00:00.000Z</x:v>
      </x:c>
      <x:c r="B75" s="9" t="n">
        <x:v>1550</x:v>
      </x:c>
      <x:c r="C75" s="9" t="n">
        <x:v>107.1</x:v>
      </x:c>
      <x:c r="D75" s="9" t="n">
        <x:v>474</x:v>
      </x:c>
      <x:c r="E75" s="9" t="n">
        <x:v>301.5</x:v>
      </x:c>
      <x:c r="F75" s="9" t="n">
        <x:v>533</x:v>
      </x:c>
      <x:c r="G75" s="9" t="n">
        <x:v>257</x:v>
      </x:c>
      <x:c r="H75" s="9" t="n">
        <x:v>400</x:v>
      </x:c>
      <x:c r="I75" s="9" t="n">
        <x:v>179.8</x:v>
      </x:c>
    </x:row>
    <x:row r="76" ht="23" customHeight="1">
      <x:c r="A76" s="8" t="d">
        <x:v>2006-03-01T00:00:00.000Z</x:v>
      </x:c>
      <x:c r="B76" s="9" t="n">
        <x:v>1550</x:v>
      </x:c>
      <x:c r="C76" s="9" t="n">
        <x:v>105.3</x:v>
      </x:c>
      <x:c r="D76" s="9" t="n">
        <x:v>473</x:v>
      </x:c>
      <x:c r="E76" s="9" t="n">
        <x:v>303.5</x:v>
      </x:c>
      <x:c r="F76" s="9" t="n">
        <x:v>541</x:v>
      </x:c>
      <x:c r="G76" s="9" t="n">
        <x:v>257</x:v>
      </x:c>
      <x:c r="H76" s="9" t="n">
        <x:v>380</x:v>
      </x:c>
      <x:c r="I76" s="9" t="n">
        <x:v>174.4</x:v>
      </x:c>
    </x:row>
    <x:row r="77" ht="23" customHeight="1">
      <x:c r="A77" s="8" t="d">
        <x:v>2006-04-01T00:00:00.000Z</x:v>
      </x:c>
      <x:c r="B77" s="9" t="n">
        <x:v>1550</x:v>
      </x:c>
      <x:c r="C77" s="9" t="n">
        <x:v>107.7</x:v>
      </x:c>
      <x:c r="D77" s="9" t="n">
        <x:v>476</x:v>
      </x:c>
      <x:c r="E77" s="9" t="n">
        <x:v>302.3</x:v>
      </x:c>
      <x:c r="F77" s="9" t="n">
        <x:v>540</x:v>
      </x:c>
      <x:c r="G77" s="9" t="n">
        <x:v>258</x:v>
      </x:c>
      <x:c r="H77" s="9" t="n">
        <x:v>390</x:v>
      </x:c>
      <x:c r="I77" s="9" t="n">
        <x:v>180.3</x:v>
      </x:c>
    </x:row>
    <x:row r="78" ht="23" customHeight="1">
      <x:c r="A78" s="8" t="d">
        <x:v>2006-05-01T00:00:00.000Z</x:v>
      </x:c>
      <x:c r="B78" s="9" t="n">
        <x:v>1600</x:v>
      </x:c>
      <x:c r="C78" s="9" t="n">
        <x:v>110.6</x:v>
      </x:c>
      <x:c r="D78" s="9" t="n">
        <x:v>484</x:v>
      </x:c>
      <x:c r="E78" s="9" t="n">
        <x:v>308</x:v>
      </x:c>
      <x:c r="F78" s="9" t="n">
        <x:v>588</x:v>
      </x:c>
      <x:c r="G78" s="9" t="n">
        <x:v>266</x:v>
      </x:c>
      <x:c r="H78" s="9" t="n">
        <x:v>370</x:v>
      </x:c>
      <x:c r="I78" s="9" t="n">
        <x:v>193.2</x:v>
      </x:c>
    </x:row>
    <x:row r="79" ht="23" customHeight="1">
      <x:c r="A79" s="8" t="d">
        <x:v>2006-06-01T00:00:00.000Z</x:v>
      </x:c>
      <x:c r="B79" s="9" t="n">
        <x:v>1610</x:v>
      </x:c>
      <x:c r="C79" s="9" t="n">
        <x:v>109.4</x:v>
      </x:c>
      <x:c r="D79" s="9" t="n">
        <x:v>478</x:v>
      </x:c>
      <x:c r="E79" s="9" t="n">
        <x:v>312.5</x:v>
      </x:c>
      <x:c r="F79" s="9" t="n">
        <x:v>601</x:v>
      </x:c>
      <x:c r="G79" s="9" t="n">
        <x:v>267</x:v>
      </x:c>
      <x:c r="H79" s="9" t="n">
        <x:v>340</x:v>
      </x:c>
      <x:c r="I79" s="9" t="n">
        <x:v>195.2</x:v>
      </x:c>
    </x:row>
    <x:row r="80" ht="23" customHeight="1">
      <x:c r="A80" s="8" t="d">
        <x:v>2006-07-01T00:00:00.000Z</x:v>
      </x:c>
      <x:c r="B80" s="9" t="n">
        <x:v>1680</x:v>
      </x:c>
      <x:c r="C80" s="9" t="n">
        <x:v>114</x:v>
      </x:c>
      <x:c r="D80" s="9" t="n">
        <x:v>499</x:v>
      </x:c>
      <x:c r="E80" s="9" t="n">
        <x:v>315.4</x:v>
      </x:c>
      <x:c r="F80" s="9" t="n">
        <x:v>630</x:v>
      </x:c>
      <x:c r="G80" s="9" t="n">
        <x:v>272</x:v>
      </x:c>
      <x:c r="H80" s="9" t="n">
        <x:v>350</x:v>
      </x:c>
      <x:c r="I80" s="9" t="n">
        <x:v>202.4</x:v>
      </x:c>
    </x:row>
    <x:row r="81" ht="23" customHeight="1">
      <x:c r="A81" s="8" t="d">
        <x:v>2006-08-01T00:00:00.000Z</x:v>
      </x:c>
      <x:c r="B81" s="9" t="n">
        <x:v>1620</x:v>
      </x:c>
      <x:c r="C81" s="9" t="n">
        <x:v>116.6</x:v>
      </x:c>
      <x:c r="D81" s="9" t="n">
        <x:v>534</x:v>
      </x:c>
      <x:c r="E81" s="9" t="n">
        <x:v>312.7</x:v>
      </x:c>
      <x:c r="F81" s="9" t="n">
        <x:v>632</x:v>
      </x:c>
      <x:c r="G81" s="9" t="n">
        <x:v>262</x:v>
      </x:c>
      <x:c r="H81" s="9" t="n">
        <x:v>300</x:v>
      </x:c>
      <x:c r="I81" s="9" t="n">
        <x:v>189.9</x:v>
      </x:c>
    </x:row>
    <x:row r="82" ht="23" customHeight="1">
      <x:c r="A82" s="8" t="d">
        <x:v>2006-09-01T00:00:00.000Z</x:v>
      </x:c>
      <x:c r="B82" s="9" t="n">
        <x:v>1570</x:v>
      </x:c>
      <x:c r="C82" s="9" t="n">
        <x:v>121.7</x:v>
      </x:c>
      <x:c r="D82" s="9" t="n">
        <x:v>511</x:v>
      </x:c>
      <x:c r="E82" s="9" t="n">
        <x:v>309.2</x:v>
      </x:c>
      <x:c r="F82" s="9" t="n">
        <x:v>602</x:v>
      </x:c>
      <x:c r="G82" s="9" t="n">
        <x:v>258</x:v>
      </x:c>
      <x:c r="H82" s="9" t="n">
        <x:v>270</x:v>
      </x:c>
      <x:c r="I82" s="9" t="n">
        <x:v>196</x:v>
      </x:c>
    </x:row>
    <x:row r="83" ht="23" customHeight="1">
      <x:c r="A83" s="8" t="d">
        <x:v>2006-10-01T00:00:00.000Z</x:v>
      </x:c>
      <x:c r="B83" s="9" t="n">
        <x:v>1530</x:v>
      </x:c>
      <x:c r="C83" s="9" t="n">
        <x:v>142.2</x:v>
      </x:c>
      <x:c r="D83" s="9" t="n">
        <x:v>514</x:v>
      </x:c>
      <x:c r="E83" s="9" t="n">
        <x:v>301</x:v>
      </x:c>
      <x:c r="F83" s="9" t="n">
        <x:v>615</x:v>
      </x:c>
      <x:c r="G83" s="9" t="n">
        <x:v>273</x:v>
      </x:c>
      <x:c r="H83" s="9" t="n">
        <x:v>260</x:v>
      </x:c>
      <x:c r="I83" s="9" t="n">
        <x:v>212.1</x:v>
      </x:c>
    </x:row>
    <x:row r="84" ht="23" customHeight="1">
      <x:c r="A84" s="8" t="d">
        <x:v>2006-11-01T00:00:00.000Z</x:v>
      </x:c>
      <x:c r="B84" s="9" t="n">
        <x:v>1580</x:v>
      </x:c>
      <x:c r="C84" s="9" t="n">
        <x:v>164.5</x:v>
      </x:c>
      <x:c r="D84" s="9" t="n">
        <x:v>572</x:v>
      </x:c>
      <x:c r="E84" s="9" t="n">
        <x:v>296.3</x:v>
      </x:c>
      <x:c r="F84" s="9" t="n">
        <x:v>676</x:v>
      </x:c>
      <x:c r="G84" s="9" t="n">
        <x:v>300</x:v>
      </x:c>
      <x:c r="H84" s="9" t="n">
        <x:v>260</x:v>
      </x:c>
      <x:c r="I84" s="9" t="n">
        <x:v>209.7</x:v>
      </x:c>
    </x:row>
    <x:row r="85" ht="23" customHeight="1">
      <x:c r="A85" s="8" t="d">
        <x:v>2006-12-01T00:00:00.000Z</x:v>
      </x:c>
      <x:c r="B85" s="9" t="n">
        <x:v>1710</x:v>
      </x:c>
      <x:c r="C85" s="9" t="n">
        <x:v>160.4</x:v>
      </x:c>
      <x:c r="D85" s="9" t="n">
        <x:v>626</x:v>
      </x:c>
      <x:c r="E85" s="9" t="n">
        <x:v>305</x:v>
      </x:c>
      <x:c r="F85" s="9" t="n">
        <x:v>698</x:v>
      </x:c>
      <x:c r="G85" s="9" t="n">
        <x:v>297</x:v>
      </x:c>
      <x:c r="H85" s="9" t="n">
        <x:v>260</x:v>
      </x:c>
      <x:c r="I85" s="9" t="n">
        <x:v>204.3</x:v>
      </x:c>
    </x:row>
    <x:row r="86" ht="23" customHeight="1">
      <x:c r="A86" s="8" t="d">
        <x:v>2007-01-01T00:00:00.000Z</x:v>
      </x:c>
      <x:c r="B86" s="9" t="n">
        <x:v>1700</x:v>
      </x:c>
      <x:c r="C86" s="9" t="n">
        <x:v>164.8</x:v>
      </x:c>
      <x:c r="D86" s="9" t="n">
        <x:v>638</x:v>
      </x:c>
      <x:c r="E86" s="9" t="n">
        <x:v>313</x:v>
      </x:c>
      <x:c r="F86" s="9" t="n">
        <x:v>697</x:v>
      </x:c>
      <x:c r="G86" s="9" t="n">
        <x:v>306</x:v>
      </x:c>
      <x:c r="H86" s="9" t="n">
        <x:v>240</x:v>
      </x:c>
      <x:c r="I86" s="9" t="n">
        <x:v>196.1</x:v>
      </x:c>
    </x:row>
    <x:row r="87" ht="23" customHeight="1">
      <x:c r="A87" s="8" t="d">
        <x:v>2007-02-01T00:00:00.000Z</x:v>
      </x:c>
      <x:c r="B87" s="9" t="n">
        <x:v>1820</x:v>
      </x:c>
      <x:c r="C87" s="9" t="n">
        <x:v>177.3</x:v>
      </x:c>
      <x:c r="D87" s="9" t="n">
        <x:v>645</x:v>
      </x:c>
      <x:c r="E87" s="9" t="n">
        <x:v>315</x:v>
      </x:c>
      <x:c r="F87" s="9" t="n">
        <x:v>715</x:v>
      </x:c>
      <x:c r="G87" s="9" t="n">
        <x:v>325</x:v>
      </x:c>
      <x:c r="H87" s="9" t="n">
        <x:v>230</x:v>
      </x:c>
      <x:c r="I87" s="9" t="n">
        <x:v>200</x:v>
      </x:c>
    </x:row>
    <x:row r="88" ht="23" customHeight="1">
      <x:c r="A88" s="8" t="d">
        <x:v>2007-03-01T00:00:00.000Z</x:v>
      </x:c>
      <x:c r="B88" s="9" t="n">
        <x:v>1920</x:v>
      </x:c>
      <x:c r="C88" s="9" t="n">
        <x:v>170.5</x:v>
      </x:c>
      <x:c r="D88" s="9" t="n">
        <x:v>661</x:v>
      </x:c>
      <x:c r="E88" s="9" t="n">
        <x:v>318.7</x:v>
      </x:c>
      <x:c r="F88" s="9" t="n">
        <x:v>719</x:v>
      </x:c>
      <x:c r="G88" s="9" t="n">
        <x:v>322</x:v>
      </x:c>
      <x:c r="H88" s="9" t="n">
        <x:v>230</x:v>
      </x:c>
      <x:c r="I88" s="9" t="n">
        <x:v>199.1</x:v>
      </x:c>
    </x:row>
    <x:row r="89" ht="23" customHeight="1">
      <x:c r="A89" s="8" t="d">
        <x:v>2007-04-01T00:00:00.000Z</x:v>
      </x:c>
      <x:c r="B89" s="9" t="n">
        <x:v>1980</x:v>
      </x:c>
      <x:c r="C89" s="9" t="n">
        <x:v>152.7</x:v>
      </x:c>
      <x:c r="D89" s="9" t="n">
        <x:v>743</x:v>
      </x:c>
      <x:c r="E89" s="9" t="n">
        <x:v>316.5</x:v>
      </x:c>
      <x:c r="F89" s="9" t="n">
        <x:v>754</x:v>
      </x:c>
      <x:c r="G89" s="9" t="n">
        <x:v>320</x:v>
      </x:c>
      <x:c r="H89" s="9" t="n">
        <x:v>210</x:v>
      </x:c>
      <x:c r="I89" s="9" t="n">
        <x:v>198.3</x:v>
      </x:c>
    </x:row>
    <x:row r="90" ht="23" customHeight="1">
      <x:c r="A90" s="8" t="d">
        <x:v>2007-05-01T00:00:00.000Z</x:v>
      </x:c>
      <x:c r="B90" s="9" t="n">
        <x:v>2000</x:v>
      </x:c>
      <x:c r="C90" s="9" t="n">
        <x:v>160.2</x:v>
      </x:c>
      <x:c r="D90" s="9" t="n">
        <x:v>816</x:v>
      </x:c>
      <x:c r="E90" s="9" t="n">
        <x:v>317.6</x:v>
      </x:c>
      <x:c r="F90" s="9" t="n">
        <x:v>789</x:v>
      </x:c>
      <x:c r="G90" s="9" t="n">
        <x:v>334</x:v>
      </x:c>
      <x:c r="H90" s="9" t="n">
        <x:v>210</x:v>
      </x:c>
      <x:c r="I90" s="9" t="n">
        <x:v>195.7</x:v>
      </x:c>
    </x:row>
    <x:row r="91" ht="23" customHeight="1">
      <x:c r="A91" s="8" t="d">
        <x:v>2007-06-01T00:00:00.000Z</x:v>
      </x:c>
      <x:c r="B91" s="9" t="n">
        <x:v>2020</x:v>
      </x:c>
      <x:c r="C91" s="9" t="n">
        <x:v>165.2</x:v>
      </x:c>
      <x:c r="D91" s="9" t="n">
        <x:v>833</x:v>
      </x:c>
      <x:c r="E91" s="9" t="n">
        <x:v>323.3</x:v>
      </x:c>
      <x:c r="F91" s="9" t="n">
        <x:v>836</x:v>
      </x:c>
      <x:c r="G91" s="9" t="n">
        <x:v>361</x:v>
      </x:c>
      <x:c r="H91" s="9" t="n">
        <x:v>200</x:v>
      </x:c>
      <x:c r="I91" s="9" t="n">
        <x:v>223</x:v>
      </x:c>
    </x:row>
    <x:row r="92" ht="23" customHeight="1">
      <x:c r="A92" s="8" t="d">
        <x:v>2007-07-01T00:00:00.000Z</x:v>
      </x:c>
      <x:c r="B92" s="9" t="n">
        <x:v>2160</x:v>
      </x:c>
      <x:c r="C92" s="9" t="n">
        <x:v>146.8</x:v>
      </x:c>
      <x:c r="D92" s="9" t="n">
        <x:v>855</x:v>
      </x:c>
      <x:c r="E92" s="9" t="n">
        <x:v>328.8</x:v>
      </x:c>
      <x:c r="F92" s="9" t="n">
        <x:v>887</x:v>
      </x:c>
      <x:c r="G92" s="9" t="n">
        <x:v>376</x:v>
      </x:c>
      <x:c r="H92" s="9" t="n">
        <x:v>220</x:v>
      </x:c>
      <x:c r="I92" s="9" t="n">
        <x:v>238.4</x:v>
      </x:c>
    </x:row>
    <x:row r="93" ht="23" customHeight="1">
      <x:c r="A93" s="8" t="d">
        <x:v>2007-08-01T00:00:00.000Z</x:v>
      </x:c>
      <x:c r="B93" s="9" t="n">
        <x:v>1910</x:v>
      </x:c>
      <x:c r="C93" s="9" t="n">
        <x:v>151.2</x:v>
      </x:c>
      <x:c r="D93" s="9" t="n">
        <x:v>831</x:v>
      </x:c>
      <x:c r="E93" s="9" t="n">
        <x:v>327.5</x:v>
      </x:c>
      <x:c r="F93" s="9" t="n">
        <x:v>922</x:v>
      </x:c>
      <x:c r="G93" s="9" t="n">
        <x:v>385</x:v>
      </x:c>
      <x:c r="H93" s="9" t="n">
        <x:v>220</x:v>
      </x:c>
      <x:c r="I93" s="9" t="n">
        <x:v>259.7</x:v>
      </x:c>
    </x:row>
    <x:row r="94" ht="23" customHeight="1">
      <x:c r="A94" s="8" t="d">
        <x:v>2007-09-01T00:00:00.000Z</x:v>
      </x:c>
      <x:c r="B94" s="9" t="n">
        <x:v>1930</x:v>
      </x:c>
      <x:c r="C94" s="9" t="n">
        <x:v>159.4</x:v>
      </x:c>
      <x:c r="D94" s="9" t="n">
        <x:v>852</x:v>
      </x:c>
      <x:c r="E94" s="9" t="n">
        <x:v>325</x:v>
      </x:c>
      <x:c r="F94" s="9" t="n">
        <x:v>977</x:v>
      </x:c>
      <x:c r="G94" s="9" t="n">
        <x:v>426</x:v>
      </x:c>
      <x:c r="H94" s="9" t="n">
        <x:v>220</x:v>
      </x:c>
      <x:c r="I94" s="9" t="n">
        <x:v>326.5</x:v>
      </x:c>
    </x:row>
    <x:row r="95" ht="23" customHeight="1">
      <x:c r="A95" s="8" t="d">
        <x:v>2007-10-01T00:00:00.000Z</x:v>
      </x:c>
      <x:c r="B95" s="9" t="n">
        <x:v>1910</x:v>
      </x:c>
      <x:c r="C95" s="9" t="n">
        <x:v>164.2</x:v>
      </x:c>
      <x:c r="D95" s="9" t="n">
        <x:v>926</x:v>
      </x:c>
      <x:c r="E95" s="9" t="n">
        <x:v>329.2</x:v>
      </x:c>
      <x:c r="F95" s="9" t="n">
        <x:v>1008</x:v>
      </x:c>
      <x:c r="G95" s="9" t="n">
        <x:v>450</x:v>
      </x:c>
      <x:c r="H95" s="9" t="n">
        <x:v>220</x:v>
      </x:c>
      <x:c r="I95" s="9" t="n">
        <x:v>335.1</x:v>
      </x:c>
    </x:row>
    <x:row r="96" ht="23" customHeight="1">
      <x:c r="A96" s="8" t="d">
        <x:v>2007-11-01T00:00:00.000Z</x:v>
      </x:c>
      <x:c r="B96" s="9" t="n">
        <x:v>1970</x:v>
      </x:c>
      <x:c r="C96" s="9" t="n">
        <x:v>171.3</x:v>
      </x:c>
      <x:c r="D96" s="9" t="n">
        <x:v>999</x:v>
      </x:c>
      <x:c r="E96" s="9" t="n">
        <x:v>342</x:v>
      </x:c>
      <x:c r="F96" s="9" t="n">
        <x:v>1142</x:v>
      </x:c>
      <x:c r="G96" s="9" t="n">
        <x:v>489</x:v>
      </x:c>
      <x:c r="H96" s="9" t="n">
        <x:v>220</x:v>
      </x:c>
      <x:c r="I96" s="9" t="n">
        <x:v>321.8</x:v>
      </x:c>
    </x:row>
    <x:row r="97" ht="23" customHeight="1">
      <x:c r="A97" s="8" t="d">
        <x:v>2007-12-01T00:00:00.000Z</x:v>
      </x:c>
      <x:c r="B97" s="9" t="n">
        <x:v>2110</x:v>
      </x:c>
      <x:c r="C97" s="9" t="n">
        <x:v>180.3</x:v>
      </x:c>
      <x:c r="D97" s="9" t="n">
        <x:v>1002</x:v>
      </x:c>
      <x:c r="E97" s="9" t="n">
        <x:v>360.7</x:v>
      </x:c>
      <x:c r="F97" s="9" t="n">
        <x:v>1188</x:v>
      </x:c>
      <x:c r="G97" s="9" t="n">
        <x:v>504</x:v>
      </x:c>
      <x:c r="H97" s="9" t="n">
        <x:v>240</x:v>
      </x:c>
      <x:c r="I97" s="9" t="n">
        <x:v>368.6</x:v>
      </x:c>
    </x:row>
    <x:row r="98" ht="23" customHeight="1">
      <x:c r="A98" s="8" t="d">
        <x:v>2008-01-01T00:00:00.000Z</x:v>
      </x:c>
      <x:c r="B98" s="9" t="n">
        <x:v>2200</x:v>
      </x:c>
      <x:c r="C98" s="9" t="n">
        <x:v>206.7</x:v>
      </x:c>
      <x:c r="D98" s="9" t="n">
        <x:v>1122</x:v>
      </x:c>
      <x:c r="E98" s="9" t="n">
        <x:v>375.6</x:v>
      </x:c>
      <x:c r="F98" s="9" t="n">
        <x:v>1280</x:v>
      </x:c>
      <x:c r="G98" s="9" t="n">
        <x:v>529</x:v>
      </x:c>
      <x:c r="H98" s="9" t="n">
        <x:v>260</x:v>
      </x:c>
      <x:c r="I98" s="9" t="n">
        <x:v>370.7</x:v>
      </x:c>
    </x:row>
    <x:row r="99" ht="23" customHeight="1">
      <x:c r="A99" s="8" t="d">
        <x:v>2008-02-01T00:00:00.000Z</x:v>
      </x:c>
      <x:c r="B99" s="9" t="n">
        <x:v>2500</x:v>
      </x:c>
      <x:c r="C99" s="9" t="n">
        <x:v>220.1</x:v>
      </x:c>
      <x:c r="D99" s="9" t="n">
        <x:v>1269</x:v>
      </x:c>
      <x:c r="E99" s="9" t="n">
        <x:v>464.8</x:v>
      </x:c>
      <x:c r="F99" s="9" t="n">
        <x:v>1414</x:v>
      </x:c>
      <x:c r="G99" s="9" t="n">
        <x:v>574</x:v>
      </x:c>
      <x:c r="H99" s="9" t="n">
        <x:v>300</x:v>
      </x:c>
      <x:c r="I99" s="9" t="n">
        <x:v>425</x:v>
      </x:c>
    </x:row>
    <x:row r="100" ht="23" customHeight="1">
      <x:c r="A100" s="8" t="d">
        <x:v>2008-03-01T00:00:00.000Z</x:v>
      </x:c>
      <x:c r="B100" s="9" t="n">
        <x:v>2730</x:v>
      </x:c>
      <x:c r="C100" s="9" t="n">
        <x:v>234.4</x:v>
      </x:c>
      <x:c r="D100" s="9" t="n">
        <x:v>1377</x:v>
      </x:c>
      <x:c r="E100" s="9" t="n">
        <x:v>594</x:v>
      </x:c>
      <x:c r="F100" s="9" t="n">
        <x:v>1489</x:v>
      </x:c>
      <x:c r="G100" s="9" t="n">
        <x:v>559</x:v>
      </x:c>
      <x:c r="H100" s="9" t="n">
        <x:v>290</x:v>
      </x:c>
      <x:c r="I100" s="9" t="n">
        <x:v>439.7</x:v>
      </x:c>
    </x:row>
    <x:row r="101" ht="23" customHeight="1">
      <x:c r="A101" s="8" t="d">
        <x:v>2008-04-01T00:00:00.000Z</x:v>
      </x:c>
      <x:c r="B101" s="9" t="n">
        <x:v>2610</x:v>
      </x:c>
      <x:c r="C101" s="9" t="n">
        <x:v>246.4</x:v>
      </x:c>
      <x:c r="D101" s="9" t="n">
        <x:v>1320</x:v>
      </x:c>
      <x:c r="E101" s="9" t="n">
        <x:v>907</x:v>
      </x:c>
      <x:c r="F101" s="9" t="n">
        <x:v>1422</x:v>
      </x:c>
      <x:c r="G101" s="9" t="n">
        <x:v>549</x:v>
      </x:c>
      <x:c r="H101" s="9" t="n">
        <x:v>280</x:v>
      </x:c>
      <x:c r="I101" s="9" t="n">
        <x:v>362.2</x:v>
      </x:c>
    </x:row>
    <x:row r="102" ht="23" customHeight="1">
      <x:c r="A102" s="8" t="d">
        <x:v>2008-05-01T00:00:00.000Z</x:v>
      </x:c>
      <x:c r="B102" s="9" t="n">
        <x:v>2680</x:v>
      </x:c>
      <x:c r="C102" s="9" t="n">
        <x:v>243.5</x:v>
      </x:c>
      <x:c r="D102" s="9" t="n">
        <x:v>1326</x:v>
      </x:c>
      <x:c r="E102" s="9" t="n">
        <x:v>901.8</x:v>
      </x:c>
      <x:c r="F102" s="9" t="n">
        <x:v>1438</x:v>
      </x:c>
      <x:c r="G102" s="9" t="n">
        <x:v>566</x:v>
      </x:c>
      <x:c r="H102" s="9" t="n">
        <x:v>270</x:v>
      </x:c>
      <x:c r="I102" s="9" t="n">
        <x:v>328.8</x:v>
      </x:c>
    </x:row>
    <x:row r="103" ht="23" customHeight="1">
      <x:c r="A103" s="8" t="d">
        <x:v>2008-06-01T00:00:00.000Z</x:v>
      </x:c>
      <x:c r="B103" s="9" t="n">
        <x:v>3000</x:v>
      </x:c>
      <x:c r="C103" s="9" t="n">
        <x:v>287.1</x:v>
      </x:c>
      <x:c r="D103" s="9" t="n">
        <x:v>1293</x:v>
      </x:c>
      <x:c r="E103" s="9" t="n">
        <x:v>757</x:v>
      </x:c>
      <x:c r="F103" s="9" t="n">
        <x:v>1535</x:v>
      </x:c>
      <x:c r="G103" s="9" t="n">
        <x:v>635</x:v>
      </x:c>
      <x:c r="H103" s="9" t="n">
        <x:v>270</x:v>
      </x:c>
      <x:c r="I103" s="9" t="n">
        <x:v>348.6</x:v>
      </x:c>
    </x:row>
    <x:row r="104" ht="23" customHeight="1">
      <x:c r="A104" s="8" t="d">
        <x:v>2008-07-01T00:00:00.000Z</x:v>
      </x:c>
      <x:c r="B104" s="9" t="n">
        <x:v>2970</x:v>
      </x:c>
      <x:c r="C104" s="9" t="n">
        <x:v>265.3</x:v>
      </x:c>
      <x:c r="D104" s="9" t="n">
        <x:v>1213</x:v>
      </x:c>
      <x:c r="E104" s="9" t="n">
        <x:v>731.8</x:v>
      </x:c>
      <x:c r="F104" s="9" t="n">
        <x:v>1507</x:v>
      </x:c>
      <x:c r="G104" s="9" t="n">
        <x:v>637</x:v>
      </x:c>
      <x:c r="H104" s="9" t="n">
        <x:v>310</x:v>
      </x:c>
      <x:c r="I104" s="9" t="n">
        <x:v>328.2</x:v>
      </x:c>
    </x:row>
    <x:row r="105" ht="23" customHeight="1">
      <x:c r="A105" s="8" t="d">
        <x:v>2008-08-01T00:00:00.000Z</x:v>
      </x:c>
      <x:c r="B105" s="9" t="n">
        <x:v>2820</x:v>
      </x:c>
      <x:c r="C105" s="9" t="n">
        <x:v>235</x:v>
      </x:c>
      <x:c r="D105" s="9" t="n">
        <x:v>964</x:v>
      </x:c>
      <x:c r="E105" s="9" t="n">
        <x:v>693.5</x:v>
      </x:c>
      <x:c r="F105" s="9" t="n">
        <x:v>1330</x:v>
      </x:c>
      <x:c r="G105" s="9" t="n">
        <x:v>557</x:v>
      </x:c>
      <x:c r="H105" s="9" t="n">
        <x:v>320</x:v>
      </x:c>
      <x:c r="I105" s="9" t="n">
        <x:v>329.3</x:v>
      </x:c>
    </x:row>
    <x:row r="106" ht="23" customHeight="1">
      <x:c r="A106" s="8" t="d">
        <x:v>2008-09-01T00:00:00.000Z</x:v>
      </x:c>
      <x:c r="B106" s="9" t="n">
        <x:v>2700</x:v>
      </x:c>
      <x:c r="C106" s="9" t="n">
        <x:v>233.8</x:v>
      </x:c>
      <x:c r="D106" s="9" t="n">
        <x:v>826</x:v>
      </x:c>
      <x:c r="E106" s="9" t="n">
        <x:v>683.8</x:v>
      </x:c>
      <x:c r="F106" s="9" t="n">
        <x:v>1201</x:v>
      </x:c>
      <x:c r="G106" s="9" t="n">
        <x:v>525</x:v>
      </x:c>
      <x:c r="H106" s="9" t="n">
        <x:v>300</x:v>
      </x:c>
      <x:c r="I106" s="9" t="n">
        <x:v>295.6</x:v>
      </x:c>
    </x:row>
    <x:row r="107" ht="23" customHeight="1">
      <x:c r="A107" s="8" t="d">
        <x:v>2008-10-01T00:00:00.000Z</x:v>
      </x:c>
      <x:c r="B107" s="9" t="n">
        <x:v>2270</x:v>
      </x:c>
      <x:c r="C107" s="9" t="n">
        <x:v>183.1</x:v>
      </x:c>
      <x:c r="D107" s="9" t="n">
        <x:v>636</x:v>
      </x:c>
      <x:c r="E107" s="9" t="n">
        <x:v>609.3</x:v>
      </x:c>
      <x:c r="F107" s="9" t="n">
        <x:v>943</x:v>
      </x:c>
      <x:c r="G107" s="9" t="n">
        <x:v>400</x:v>
      </x:c>
      <x:c r="H107" s="9" t="n">
        <x:v>260</x:v>
      </x:c>
      <x:c r="I107" s="9" t="n">
        <x:v>237.4</x:v>
      </x:c>
    </x:row>
    <x:row r="108" ht="23" customHeight="1">
      <x:c r="A108" s="8" t="d">
        <x:v>2008-11-01T00:00:00.000Z</x:v>
      </x:c>
      <x:c r="B108" s="9" t="n">
        <x:v>2050</x:v>
      </x:c>
      <x:c r="C108" s="9" t="n">
        <x:v>163.8</x:v>
      </x:c>
      <x:c r="D108" s="9" t="n">
        <x:v>581</x:v>
      </x:c>
      <x:c r="E108" s="9" t="n">
        <x:v>552</x:v>
      </x:c>
      <x:c r="F108" s="9" t="n">
        <x:v>826</x:v>
      </x:c>
      <x:c r="G108" s="9" t="n">
        <x:v>372</x:v>
      </x:c>
      <x:c r="H108" s="9" t="n">
        <x:v>270</x:v>
      </x:c>
      <x:c r="I108" s="9" t="n">
        <x:v>226.8</x:v>
      </x:c>
    </x:row>
    <x:row r="109" ht="23" customHeight="1">
      <x:c r="A109" s="8" t="d">
        <x:v>2008-12-01T00:00:00.000Z</x:v>
      </x:c>
      <x:c r="B109" s="9" t="n">
        <x:v>2390</x:v>
      </x:c>
      <x:c r="C109" s="9" t="n">
        <x:v>158.3</x:v>
      </x:c>
      <x:c r="D109" s="9" t="n">
        <x:v>587</x:v>
      </x:c>
      <x:c r="E109" s="9" t="n">
        <x:v>531.8</x:v>
      </x:c>
      <x:c r="F109" s="9" t="n">
        <x:v>746</x:v>
      </x:c>
      <x:c r="G109" s="9" t="n">
        <x:v>359</x:v>
      </x:c>
      <x:c r="H109" s="9" t="n">
        <x:v>260</x:v>
      </x:c>
      <x:c r="I109" s="9" t="n">
        <x:v>220.1</x:v>
      </x:c>
    </x:row>
    <x:row r="110" ht="23" customHeight="1">
      <x:c r="A110" s="8" t="d">
        <x:v>2009-01-01T00:00:00.000Z</x:v>
      </x:c>
      <x:c r="B110" s="9" t="n">
        <x:v>2630</x:v>
      </x:c>
      <x:c r="C110" s="9" t="n">
        <x:v>172.8</x:v>
      </x:c>
      <x:c r="D110" s="9" t="n">
        <x:v>659</x:v>
      </x:c>
      <x:c r="E110" s="9" t="n">
        <x:v>580</x:v>
      </x:c>
      <x:c r="F110" s="9" t="n">
        <x:v>790</x:v>
      </x:c>
      <x:c r="G110" s="9" t="n">
        <x:v>401</x:v>
      </x:c>
      <x:c r="H110" s="9" t="n">
        <x:v>280</x:v>
      </x:c>
      <x:c r="I110" s="9" t="n">
        <x:v>239.1</x:v>
      </x:c>
    </x:row>
    <x:row r="111" ht="23" customHeight="1">
      <x:c r="A111" s="8" t="d">
        <x:v>2009-02-01T00:00:00.000Z</x:v>
      </x:c>
      <x:c r="B111" s="9" t="n">
        <x:v>2650</x:v>
      </x:c>
      <x:c r="C111" s="9" t="n">
        <x:v>163.4</x:v>
      </x:c>
      <x:c r="D111" s="9" t="n">
        <x:v>656</x:v>
      </x:c>
      <x:c r="E111" s="9" t="n">
        <x:v>590.8</x:v>
      </x:c>
      <x:c r="F111" s="9" t="n">
        <x:v>748</x:v>
      </x:c>
      <x:c r="G111" s="9" t="n">
        <x:v>374</x:v>
      </x:c>
      <x:c r="H111" s="9" t="n">
        <x:v>290</x:v>
      </x:c>
      <x:c r="I111" s="9" t="n">
        <x:v>224.7</x:v>
      </x:c>
    </x:row>
    <x:row r="112" ht="23" customHeight="1">
      <x:c r="A112" s="8" t="d">
        <x:v>2009-03-01T00:00:00.000Z</x:v>
      </x:c>
      <x:c r="B112" s="9" t="n">
        <x:v>2510</x:v>
      </x:c>
      <x:c r="C112" s="9" t="n">
        <x:v>164.6</x:v>
      </x:c>
      <x:c r="D112" s="9" t="n">
        <x:v>660</x:v>
      </x:c>
      <x:c r="E112" s="9" t="n">
        <x:v>588.3</x:v>
      </x:c>
      <x:c r="F112" s="9" t="n">
        <x:v>731</x:v>
      </x:c>
      <x:c r="G112" s="9" t="n">
        <x:v>373</x:v>
      </x:c>
      <x:c r="H112" s="9" t="n">
        <x:v>300</x:v>
      </x:c>
      <x:c r="I112" s="9" t="n">
        <x:v>231</x:v>
      </x:c>
    </x:row>
    <x:row r="113" ht="23" customHeight="1">
      <x:c r="A113" s="8" t="d">
        <x:v>2009-04-01T00:00:00.000Z</x:v>
      </x:c>
      <x:c r="B113" s="9" t="n">
        <x:v>2560</x:v>
      </x:c>
      <x:c r="C113" s="9" t="n">
        <x:v>168.5</x:v>
      </x:c>
      <x:c r="D113" s="9" t="n">
        <x:v>800</x:v>
      </x:c>
      <x:c r="E113" s="9" t="n">
        <x:v>549.7</x:v>
      </x:c>
      <x:c r="F113" s="9" t="n">
        <x:v>809</x:v>
      </x:c>
      <x:c r="G113" s="9" t="n">
        <x:v>388</x:v>
      </x:c>
      <x:c r="H113" s="9" t="n">
        <x:v>300</x:v>
      </x:c>
      <x:c r="I113" s="9" t="n">
        <x:v>233.5</x:v>
      </x:c>
    </x:row>
    <x:row r="114" ht="23" customHeight="1">
      <x:c r="A114" s="8" t="d">
        <x:v>2009-05-01T00:00:00.000Z</x:v>
      </x:c>
      <x:c r="B114" s="9" t="n">
        <x:v>2480</x:v>
      </x:c>
      <x:c r="C114" s="9" t="n">
        <x:v>179.9</x:v>
      </x:c>
      <x:c r="D114" s="9" t="n">
        <x:v>873</x:v>
      </x:c>
      <x:c r="E114" s="9" t="n">
        <x:v>533</x:v>
      </x:c>
      <x:c r="F114" s="9" t="n">
        <x:v>890</x:v>
      </x:c>
      <x:c r="G114" s="9" t="n">
        <x:v>426</x:v>
      </x:c>
      <x:c r="H114" s="9" t="n">
        <x:v>350</x:v>
      </x:c>
      <x:c r="I114" s="9" t="n">
        <x:v>261.5</x:v>
      </x:c>
    </x:row>
    <x:row r="115" ht="23" customHeight="1">
      <x:c r="A115" s="8" t="d">
        <x:v>2009-06-01T00:00:00.000Z</x:v>
      </x:c>
      <x:c r="B115" s="9" t="n">
        <x:v>2700</x:v>
      </x:c>
      <x:c r="C115" s="9" t="n">
        <x:v>179.5</x:v>
      </x:c>
      <x:c r="D115" s="9" t="n">
        <x:v>789</x:v>
      </x:c>
      <x:c r="E115" s="9" t="n">
        <x:v>574.5</x:v>
      </x:c>
      <x:c r="F115" s="9" t="n">
        <x:v>893</x:v>
      </x:c>
      <x:c r="G115" s="9" t="n">
        <x:v>442</x:v>
      </x:c>
      <x:c r="H115" s="9" t="n">
        <x:v>360</x:v>
      </x:c>
      <x:c r="I115" s="9" t="n">
        <x:v>256.6</x:v>
      </x:c>
    </x:row>
    <x:row r="116" ht="23" customHeight="1">
      <x:c r="A116" s="8" t="d">
        <x:v>2009-07-01T00:00:00.000Z</x:v>
      </x:c>
      <x:c r="B116" s="9" t="n">
        <x:v>2790</x:v>
      </x:c>
      <x:c r="C116" s="9" t="n">
        <x:v>151.6</x:v>
      </x:c>
      <x:c r="D116" s="9" t="n">
        <x:v>698</x:v>
      </x:c>
      <x:c r="E116" s="9" t="n">
        <x:v>572</x:v>
      </x:c>
      <x:c r="F116" s="9" t="n">
        <x:v>846</x:v>
      </x:c>
      <x:c r="G116" s="9" t="n">
        <x:v>431</x:v>
      </x:c>
      <x:c r="H116" s="9" t="n">
        <x:v>410</x:v>
      </x:c>
      <x:c r="I116" s="9" t="n">
        <x:v>224.9</x:v>
      </x:c>
    </x:row>
    <x:row r="117" ht="23" customHeight="1">
      <x:c r="A117" s="8" t="d">
        <x:v>2009-08-01T00:00:00.000Z</x:v>
      </x:c>
      <x:c r="B117" s="9" t="n">
        <x:v>2960</x:v>
      </x:c>
      <x:c r="C117" s="9" t="n">
        <x:v>152</x:v>
      </x:c>
      <x:c r="D117" s="9" t="n">
        <x:v>746</x:v>
      </x:c>
      <x:c r="E117" s="9" t="n">
        <x:v>526.3</x:v>
      </x:c>
      <x:c r="F117" s="9" t="n">
        <x:v>903</x:v>
      </x:c>
      <x:c r="G117" s="9" t="n">
        <x:v>498</x:v>
      </x:c>
      <x:c r="H117" s="9" t="n">
        <x:v>490</x:v>
      </x:c>
      <x:c r="I117" s="9" t="n">
        <x:v>210.4</x:v>
      </x:c>
    </x:row>
    <x:row r="118" ht="23" customHeight="1">
      <x:c r="A118" s="8" t="d">
        <x:v>2009-09-01T00:00:00.000Z</x:v>
      </x:c>
      <x:c r="B118" s="9" t="n">
        <x:v>3140</x:v>
      </x:c>
      <x:c r="C118" s="9" t="n">
        <x:v>150.4</x:v>
      </x:c>
      <x:c r="D118" s="9" t="n">
        <x:v>704</x:v>
      </x:c>
      <x:c r="E118" s="9" t="n">
        <x:v>518.8</x:v>
      </x:c>
      <x:c r="F118" s="9" t="n">
        <x:v>858</x:v>
      </x:c>
      <x:c r="G118" s="9" t="n">
        <x:v>425</x:v>
      </x:c>
      <x:c r="H118" s="9" t="n">
        <x:v>510</x:v>
      </x:c>
      <x:c r="I118" s="9" t="n">
        <x:v>191.1</x:v>
      </x:c>
    </x:row>
    <x:row r="119" ht="23" customHeight="1">
      <x:c r="A119" s="8" t="d">
        <x:v>2009-10-01T00:00:00.000Z</x:v>
      </x:c>
      <x:c r="B119" s="9" t="n">
        <x:v>3370</x:v>
      </x:c>
      <x:c r="C119" s="9" t="n">
        <x:v>167.3</x:v>
      </x:c>
      <x:c r="D119" s="9" t="n">
        <x:v>725</x:v>
      </x:c>
      <x:c r="E119" s="9" t="n">
        <x:v>493</x:v>
      </x:c>
      <x:c r="F119" s="9" t="n">
        <x:v>897</x:v>
      </x:c>
      <x:c r="G119" s="9" t="n">
        <x:v>430</x:v>
      </x:c>
      <x:c r="H119" s="9" t="n">
        <x:v>500</x:v>
      </x:c>
      <x:c r="I119" s="9" t="n">
        <x:v>198.8</x:v>
      </x:c>
    </x:row>
    <x:row r="120" ht="23" customHeight="1">
      <x:c r="A120" s="8" t="d">
        <x:v>2009-11-01T00:00:00.000Z</x:v>
      </x:c>
      <x:c r="B120" s="9" t="n">
        <x:v>3380</x:v>
      </x:c>
      <x:c r="C120" s="9" t="n">
        <x:v>171.6</x:v>
      </x:c>
      <x:c r="D120" s="9" t="n">
        <x:v>763</x:v>
      </x:c>
      <x:c r="E120" s="9" t="n">
        <x:v>542.8</x:v>
      </x:c>
      <x:c r="F120" s="9" t="n">
        <x:v>932</x:v>
      </x:c>
      <x:c r="G120" s="9" t="n">
        <x:v>447</x:v>
      </x:c>
      <x:c r="H120" s="9" t="n">
        <x:v>490</x:v>
      </x:c>
      <x:c r="I120" s="9" t="n">
        <x:v>211</x:v>
      </x:c>
    </x:row>
    <x:row r="121" ht="23" customHeight="1">
      <x:c r="A121" s="8" t="d">
        <x:v>2009-12-01T00:00:00.000Z</x:v>
      </x:c>
      <x:c r="B121" s="9" t="n">
        <x:v>3500</x:v>
      </x:c>
      <x:c r="C121" s="9" t="n">
        <x:v>164.6</x:v>
      </x:c>
      <x:c r="D121" s="9" t="n">
        <x:v>822</x:v>
      </x:c>
      <x:c r="E121" s="9" t="n">
        <x:v>591</x:v>
      </x:c>
      <x:c r="F121" s="9" t="n">
        <x:v>940</x:v>
      </x:c>
      <x:c r="G121" s="9" t="n">
        <x:v>449</x:v>
      </x:c>
      <x:c r="H121" s="9" t="n">
        <x:v>520</x:v>
      </x:c>
      <x:c r="I121" s="9" t="n">
        <x:v>206.3</x:v>
      </x:c>
    </x:row>
    <x:row r="122" ht="23" customHeight="1">
      <x:c r="A122" s="8" t="d">
        <x:v>2010-01-01T00:00:00.000Z</x:v>
      </x:c>
      <x:c r="B122" s="9" t="n">
        <x:v>3530</x:v>
      </x:c>
      <x:c r="C122" s="9" t="n">
        <x:v>167.3</x:v>
      </x:c>
      <x:c r="D122" s="9" t="n">
        <x:v>831</x:v>
      </x:c>
      <x:c r="E122" s="9" t="n">
        <x:v>568.8</x:v>
      </x:c>
      <x:c r="F122" s="9" t="n">
        <x:v>921</x:v>
      </x:c>
      <x:c r="G122" s="9" t="n">
        <x:v>436</x:v>
      </x:c>
      <x:c r="H122" s="9" t="n">
        <x:v>580</x:v>
      </x:c>
      <x:c r="I122" s="9" t="n">
        <x:v>201.2</x:v>
      </x:c>
    </x:row>
    <x:row r="123" ht="23" customHeight="1">
      <x:c r="A123" s="8" t="d">
        <x:v>2010-02-01T00:00:00.000Z</x:v>
      </x:c>
      <x:c r="B123" s="9" t="n">
        <x:v>3280</x:v>
      </x:c>
      <x:c r="C123" s="9" t="n">
        <x:v>161.8</x:v>
      </x:c>
      <x:c r="D123" s="9" t="n">
        <x:v>830</x:v>
      </x:c>
      <x:c r="E123" s="9" t="n">
        <x:v>535</x:v>
      </x:c>
      <x:c r="F123" s="9" t="n">
        <x:v>909</x:v>
      </x:c>
      <x:c r="G123" s="9" t="n">
        <x:v>412</x:v>
      </x:c>
      <x:c r="H123" s="9" t="n">
        <x:v>560</x:v>
      </x:c>
      <x:c r="I123" s="9" t="n">
        <x:v>194</x:v>
      </x:c>
    </x:row>
    <x:row r="124" ht="23" customHeight="1">
      <x:c r="A124" s="8" t="d">
        <x:v>2010-03-01T00:00:00.000Z</x:v>
      </x:c>
      <x:c r="B124" s="9" t="n">
        <x:v>3090</x:v>
      </x:c>
      <x:c r="C124" s="9" t="n">
        <x:v>159</x:v>
      </x:c>
      <x:c r="D124" s="9" t="n">
        <x:v>863</x:v>
      </x:c>
      <x:c r="E124" s="9" t="n">
        <x:v>502.2</x:v>
      </x:c>
      <x:c r="F124" s="9" t="n">
        <x:v>911</x:v>
      </x:c>
      <x:c r="G124" s="9" t="n">
        <x:v>409</x:v>
      </x:c>
      <x:c r="H124" s="9" t="n">
        <x:v>410</x:v>
      </x:c>
      <x:c r="I124" s="9" t="n">
        <x:v>191.1</x:v>
      </x:c>
    </x:row>
    <x:row r="125" ht="23" customHeight="1">
      <x:c r="A125" s="8" t="d">
        <x:v>2010-04-01T00:00:00.000Z</x:v>
      </x:c>
      <x:c r="B125" s="9" t="n">
        <x:v>3220</x:v>
      </x:c>
      <x:c r="C125" s="9" t="n">
        <x:v>157.1</x:v>
      </x:c>
      <x:c r="D125" s="9" t="n">
        <x:v>863</x:v>
      </x:c>
      <x:c r="E125" s="9" t="n">
        <x:v>466</x:v>
      </x:c>
      <x:c r="F125" s="9" t="n">
        <x:v>903</x:v>
      </x:c>
      <x:c r="G125" s="9" t="n">
        <x:v>403</x:v>
      </x:c>
      <x:c r="H125" s="9" t="n">
        <x:v>360</x:v>
      </x:c>
      <x:c r="I125" s="9" t="n">
        <x:v>192.9</x:v>
      </x:c>
    </x:row>
    <x:row r="126" ht="23" customHeight="1">
      <x:c r="A126" s="8" t="d">
        <x:v>2010-05-01T00:00:00.000Z</x:v>
      </x:c>
      <x:c r="B126" s="9" t="n">
        <x:v>3180</x:v>
      </x:c>
      <x:c r="C126" s="9" t="n">
        <x:v>163.4</x:v>
      </x:c>
      <x:c r="D126" s="9" t="n">
        <x:v>855</x:v>
      </x:c>
      <x:c r="E126" s="9" t="n">
        <x:v>451.3</x:v>
      </x:c>
      <x:c r="F126" s="9" t="n">
        <x:v>859</x:v>
      </x:c>
      <x:c r="G126" s="9" t="n">
        <x:v>403</x:v>
      </x:c>
      <x:c r="H126" s="9" t="n">
        <x:v>340</x:v>
      </x:c>
      <x:c r="I126" s="9" t="n">
        <x:v>181.6</x:v>
      </x:c>
    </x:row>
    <x:row r="127" ht="23" customHeight="1">
      <x:c r="A127" s="8" t="d">
        <x:v>2010-06-01T00:00:00.000Z</x:v>
      </x:c>
      <x:c r="B127" s="9" t="n">
        <x:v>3230</x:v>
      </x:c>
      <x:c r="C127" s="9" t="n">
        <x:v>152.7</x:v>
      </x:c>
      <x:c r="D127" s="9" t="n">
        <x:v>826</x:v>
      </x:c>
      <x:c r="E127" s="9" t="n">
        <x:v>440</x:v>
      </x:c>
      <x:c r="F127" s="9" t="n">
        <x:v>860</x:v>
      </x:c>
      <x:c r="G127" s="9" t="n">
        <x:v>401</x:v>
      </x:c>
      <x:c r="H127" s="9" t="n">
        <x:v>350</x:v>
      </x:c>
      <x:c r="I127" s="9" t="n">
        <x:v>157.7</x:v>
      </x:c>
    </x:row>
    <x:row r="128" ht="23" customHeight="1">
      <x:c r="A128" s="8" t="d">
        <x:v>2010-07-01T00:00:00.000Z</x:v>
      </x:c>
      <x:c r="B128" s="9" t="n">
        <x:v>3230</x:v>
      </x:c>
      <x:c r="C128" s="9" t="n">
        <x:v>163.8</x:v>
      </x:c>
      <x:c r="D128" s="9" t="n">
        <x:v>844</x:v>
      </x:c>
      <x:c r="E128" s="9" t="n">
        <x:v>441.8</x:v>
      </x:c>
      <x:c r="F128" s="9" t="n">
        <x:v>911</x:v>
      </x:c>
      <x:c r="G128" s="9" t="n">
        <x:v>428</x:v>
      </x:c>
      <x:c r="H128" s="9" t="n">
        <x:v>380</x:v>
      </x:c>
      <x:c r="I128" s="9" t="n">
        <x:v>195.8</x:v>
      </x:c>
    </x:row>
    <x:row r="129" ht="23" customHeight="1">
      <x:c r="A129" s="8" t="d">
        <x:v>2010-08-01T00:00:00.000Z</x:v>
      </x:c>
      <x:c r="B129" s="9" t="n">
        <x:v>3070</x:v>
      </x:c>
      <x:c r="C129" s="9" t="n">
        <x:v>175.6</x:v>
      </x:c>
      <x:c r="D129" s="9" t="n">
        <x:v>944</x:v>
      </x:c>
      <x:c r="E129" s="9" t="n">
        <x:v>452.8</x:v>
      </x:c>
      <x:c r="F129" s="9" t="n">
        <x:v>998</x:v>
      </x:c>
      <x:c r="G129" s="9" t="n">
        <x:v>450</x:v>
      </x:c>
      <x:c r="H129" s="9" t="n">
        <x:v>410</x:v>
      </x:c>
      <x:c r="I129" s="9" t="n">
        <x:v>246.2</x:v>
      </x:c>
    </x:row>
    <x:row r="130" ht="23" customHeight="1">
      <x:c r="A130" s="8" t="d">
        <x:v>2010-09-01T00:00:00.000Z</x:v>
      </x:c>
      <x:c r="B130" s="9" t="n">
        <x:v>2880</x:v>
      </x:c>
      <x:c r="C130" s="9" t="n">
        <x:v>205.9</x:v>
      </x:c>
      <x:c r="D130" s="9" t="n">
        <x:v>949</x:v>
      </x:c>
      <x:c r="E130" s="9" t="n">
        <x:v>476.5</x:v>
      </x:c>
      <x:c r="F130" s="9" t="n">
        <x:v>1035</x:v>
      </x:c>
      <x:c r="G130" s="9" t="n">
        <x:v>468</x:v>
      </x:c>
      <x:c r="H130" s="9" t="n">
        <x:v>500</x:v>
      </x:c>
      <x:c r="I130" s="9" t="n">
        <x:v>271.7</x:v>
      </x:c>
    </x:row>
    <x:row r="131" ht="23" customHeight="1">
      <x:c r="A131" s="8" t="d">
        <x:v>2010-10-01T00:00:00.000Z</x:v>
      </x:c>
      <x:c r="B131" s="9" t="n">
        <x:v>2930</x:v>
      </x:c>
      <x:c r="C131" s="9" t="n">
        <x:v>235.8</x:v>
      </x:c>
      <x:c r="D131" s="9" t="n">
        <x:v>1026</x:v>
      </x:c>
      <x:c r="E131" s="9" t="n">
        <x:v>486</x:v>
      </x:c>
      <x:c r="F131" s="9" t="n">
        <x:v>1147</x:v>
      </x:c>
      <x:c r="G131" s="9" t="n">
        <x:v>496</x:v>
      </x:c>
      <x:c r="H131" s="9" t="n">
        <x:v>540</x:v>
      </x:c>
      <x:c r="I131" s="9" t="n">
        <x:v>270.2</x:v>
      </x:c>
    </x:row>
    <x:row r="132" ht="23" customHeight="1">
      <x:c r="A132" s="8" t="d">
        <x:v>2010-11-01T00:00:00.000Z</x:v>
      </x:c>
      <x:c r="B132" s="9" t="n">
        <x:v>2910</x:v>
      </x:c>
      <x:c r="C132" s="9" t="n">
        <x:v>238.2</x:v>
      </x:c>
      <x:c r="D132" s="9" t="n">
        <x:v>1131</x:v>
      </x:c>
      <x:c r="E132" s="9" t="n">
        <x:v>514.5</x:v>
      </x:c>
      <x:c r="F132" s="9" t="n">
        <x:v>1232</x:v>
      </x:c>
      <x:c r="G132" s="9" t="n">
        <x:v>514</x:v>
      </x:c>
      <x:c r="H132" s="9" t="n">
        <x:v>580</x:v>
      </x:c>
      <x:c r="I132" s="9" t="n">
        <x:v>274.1</x:v>
      </x:c>
    </x:row>
    <x:row r="133" ht="23" customHeight="1">
      <x:c r="A133" s="8" t="d">
        <x:v>2010-12-01T00:00:00.000Z</x:v>
      </x:c>
      <x:c r="B133" s="9" t="n">
        <x:v>3060</x:v>
      </x:c>
      <x:c r="C133" s="9" t="n">
        <x:v>250.4</x:v>
      </x:c>
      <x:c r="D133" s="9" t="n">
        <x:v>1235</x:v>
      </x:c>
      <x:c r="E133" s="9" t="n">
        <x:v>532</x:v>
      </x:c>
      <x:c r="F133" s="9" t="n">
        <x:v>1325</x:v>
      </x:c>
      <x:c r="G133" s="9" t="n">
        <x:v>546</x:v>
      </x:c>
      <x:c r="H133" s="9" t="n">
        <x:v>620</x:v>
      </x:c>
      <x:c r="I133" s="9" t="n">
        <x:v>306.5</x:v>
      </x:c>
    </x:row>
    <x:row r="134" ht="23" customHeight="1">
      <x:c r="A134" s="8" t="d">
        <x:v>2011-01-01T00:00:00.000Z</x:v>
      </x:c>
      <x:c r="B134" s="9" t="n">
        <x:v>3160</x:v>
      </x:c>
      <x:c r="C134" s="9" t="n">
        <x:v>264.9</x:v>
      </x:c>
      <x:c r="D134" s="9" t="n">
        <x:v>1304</x:v>
      </x:c>
      <x:c r="E134" s="9" t="n">
        <x:v>516.8</x:v>
      </x:c>
      <x:c r="F134" s="9" t="n">
        <x:v>1366</x:v>
      </x:c>
      <x:c r="G134" s="9" t="n">
        <x:v>568</x:v>
      </x:c>
      <x:c r="H134" s="9" t="n">
        <x:v>650</x:v>
      </x:c>
      <x:c r="I134" s="9" t="n">
        <x:v>326.6</x:v>
      </x:c>
    </x:row>
    <x:row r="135" ht="23" customHeight="1">
      <x:c r="A135" s="8" t="d">
        <x:v>2011-02-01T00:00:00.000Z</x:v>
      </x:c>
      <x:c r="B135" s="9" t="n">
        <x:v>3470</x:v>
      </x:c>
      <x:c r="C135" s="9" t="n">
        <x:v>292.9</x:v>
      </x:c>
      <x:c r="D135" s="9" t="n">
        <x:v>1327</x:v>
      </x:c>
      <x:c r="E135" s="9" t="n">
        <x:v>524</x:v>
      </x:c>
      <x:c r="F135" s="9" t="n">
        <x:v>1360</x:v>
      </x:c>
      <x:c r="G135" s="9" t="n">
        <x:v>566</x:v>
      </x:c>
      <x:c r="H135" s="9" t="n">
        <x:v>650</x:v>
      </x:c>
      <x:c r="I135" s="9" t="n">
        <x:v>348.1</x:v>
      </x:c>
    </x:row>
    <x:row r="136" ht="23" customHeight="1">
      <x:c r="A136" s="8" t="d">
        <x:v>2011-03-01T00:00:00.000Z</x:v>
      </x:c>
      <x:c r="B136" s="9" t="n">
        <x:v>3390</x:v>
      </x:c>
      <x:c r="C136" s="9" t="n">
        <x:v>290.5</x:v>
      </x:c>
      <x:c r="D136" s="9" t="n">
        <x:v>1242</x:v>
      </x:c>
      <x:c r="E136" s="9" t="n">
        <x:v>492.8</x:v>
      </x:c>
      <x:c r="F136" s="9" t="n">
        <x:v>1307</x:v>
      </x:c>
      <x:c r="G136" s="9" t="n">
        <x:v>553</x:v>
      </x:c>
      <x:c r="H136" s="9" t="n">
        <x:v>580</x:v>
      </x:c>
      <x:c r="I136" s="9" t="n">
        <x:v>316.7</x:v>
      </x:c>
    </x:row>
    <x:row r="137" ht="23" customHeight="1">
      <x:c r="A137" s="8" t="d">
        <x:v>2011-04-01T00:00:00.000Z</x:v>
      </x:c>
      <x:c r="B137" s="9" t="n">
        <x:v>3130</x:v>
      </x:c>
      <x:c r="C137" s="9" t="n">
        <x:v>319.3</x:v>
      </x:c>
      <x:c r="D137" s="9" t="n">
        <x:v>1220</x:v>
      </x:c>
      <x:c r="E137" s="9" t="n">
        <x:v>484.3</x:v>
      </x:c>
      <x:c r="F137" s="9" t="n">
        <x:v>1310</x:v>
      </x:c>
      <x:c r="G137" s="9" t="n">
        <x:v>557</x:v>
      </x:c>
      <x:c r="H137" s="9" t="n">
        <x:v>540</x:v>
      </x:c>
      <x:c r="I137" s="9" t="n">
        <x:v>336.1</x:v>
      </x:c>
    </x:row>
    <x:row r="138" ht="23" customHeight="1">
      <x:c r="A138" s="8" t="d">
        <x:v>2011-05-01T00:00:00.000Z</x:v>
      </x:c>
      <x:c r="B138" s="9" t="n">
        <x:v>3070</x:v>
      </x:c>
      <x:c r="C138" s="9" t="n">
        <x:v>307.9</x:v>
      </x:c>
      <x:c r="D138" s="9" t="n">
        <x:v>1230</x:v>
      </x:c>
      <x:c r="E138" s="9" t="n">
        <x:v>481.4</x:v>
      </x:c>
      <x:c r="F138" s="9" t="n">
        <x:v>1296</x:v>
      </x:c>
      <x:c r="G138" s="9" t="n">
        <x:v>557</x:v>
      </x:c>
      <x:c r="H138" s="9" t="n">
        <x:v>480</x:v>
      </x:c>
      <x:c r="I138" s="9" t="n">
        <x:v>355.3</x:v>
      </x:c>
    </x:row>
    <x:row r="139" ht="23" customHeight="1">
      <x:c r="A139" s="8" t="d">
        <x:v>2011-06-01T00:00:00.000Z</x:v>
      </x:c>
      <x:c r="B139" s="9" t="n">
        <x:v>3020</x:v>
      </x:c>
      <x:c r="C139" s="9" t="n">
        <x:v>310.6</x:v>
      </x:c>
      <x:c r="D139" s="9" t="n">
        <x:v>1192</x:v>
      </x:c>
      <x:c r="E139" s="9" t="n">
        <x:v>513.8</x:v>
      </x:c>
      <x:c r="F139" s="9" t="n">
        <x:v>1319</x:v>
      </x:c>
      <x:c r="G139" s="9" t="n">
        <x:v>556</x:v>
      </x:c>
      <x:c r="H139" s="9" t="n">
        <x:v>560</x:v>
      </x:c>
      <x:c r="I139" s="9" t="n">
        <x:v>326.4</x:v>
      </x:c>
    </x:row>
    <x:row r="140" ht="23" customHeight="1">
      <x:c r="A140" s="8" t="d">
        <x:v>2011-07-01T00:00:00.000Z</x:v>
      </x:c>
      <x:c r="B140" s="9" t="n">
        <x:v>3170</x:v>
      </x:c>
      <x:c r="C140" s="9" t="n">
        <x:v>300.8</x:v>
      </x:c>
      <x:c r="D140" s="9" t="n">
        <x:v>1183</x:v>
      </x:c>
      <x:c r="E140" s="9" t="n">
        <x:v>538.3</x:v>
      </x:c>
      <x:c r="F140" s="9" t="n">
        <x:v>1337</x:v>
      </x:c>
      <x:c r="G140" s="9" t="n">
        <x:v>557</x:v>
      </x:c>
      <x:c r="H140" s="9" t="n">
        <x:v>620</x:v>
      </x:c>
      <x:c r="I140" s="9" t="n">
        <x:v>303.9</x:v>
      </x:c>
    </x:row>
    <x:row r="141" ht="23" customHeight="1">
      <x:c r="A141" s="8" t="d">
        <x:v>2011-08-01T00:00:00.000Z</x:v>
      </x:c>
      <x:c r="B141" s="9" t="n">
        <x:v>3060</x:v>
      </x:c>
      <x:c r="C141" s="9" t="n">
        <x:v>310.2</x:v>
      </x:c>
      <x:c r="D141" s="9" t="n">
        <x:v>1205</x:v>
      </x:c>
      <x:c r="E141" s="9" t="n">
        <x:v>566</x:v>
      </x:c>
      <x:c r="F141" s="9" t="n">
        <x:v>1328</x:v>
      </x:c>
      <x:c r="G141" s="9" t="n">
        <x:v>553</x:v>
      </x:c>
      <x:c r="H141" s="9" t="n">
        <x:v>610</x:v>
      </x:c>
      <x:c r="I141" s="9" t="n">
        <x:v>327.1</x:v>
      </x:c>
    </x:row>
    <x:row r="142" ht="23" customHeight="1">
      <x:c r="A142" s="8" t="d">
        <x:v>2011-09-01T00:00:00.000Z</x:v>
      </x:c>
      <x:c r="B142" s="9" t="n">
        <x:v>2870</x:v>
      </x:c>
      <x:c r="C142" s="9" t="n">
        <x:v>295.3</x:v>
      </x:c>
      <x:c r="D142" s="9" t="n">
        <x:v>1137</x:v>
      </x:c>
      <x:c r="E142" s="9" t="n">
        <x:v>598.8</x:v>
      </x:c>
      <x:c r="F142" s="9" t="n">
        <x:v>1308</x:v>
      </x:c>
      <x:c r="G142" s="9" t="n">
        <x:v>532</x:v>
      </x:c>
      <x:c r="H142" s="9" t="n">
        <x:v>590</x:v>
      </x:c>
      <x:c r="I142" s="9" t="n">
        <x:v>315.9</x:v>
      </x:c>
    </x:row>
    <x:row r="143" ht="23" customHeight="1">
      <x:c r="A143" s="8" t="d">
        <x:v>2011-10-01T00:00:00.000Z</x:v>
      </x:c>
      <x:c r="B143" s="9" t="n">
        <x:v>2680</x:v>
      </x:c>
      <x:c r="C143" s="9" t="n">
        <x:v>274.8</x:v>
      </x:c>
      <x:c r="D143" s="9" t="n">
        <x:v>1045</x:v>
      </x:c>
      <x:c r="E143" s="9" t="n">
        <x:v>599.4</x:v>
      </x:c>
      <x:c r="F143" s="9" t="n">
        <x:v>1223</x:v>
      </x:c>
      <x:c r="G143" s="9" t="n">
        <x:v>491</x:v>
      </x:c>
      <x:c r="H143" s="9" t="n">
        <x:v>560</x:v>
      </x:c>
      <x:c r="I143" s="9" t="n">
        <x:v>289</x:v>
      </x:c>
    </x:row>
    <x:row r="144" ht="23" customHeight="1">
      <x:c r="A144" s="8" t="d">
        <x:v>2011-11-01T00:00:00.000Z</x:v>
      </x:c>
      <x:c r="B144" s="9" t="n">
        <x:v>2530</x:v>
      </x:c>
      <x:c r="C144" s="9" t="n">
        <x:v>274.4</x:v>
      </x:c>
      <x:c r="D144" s="9" t="n">
        <x:v>1113</x:v>
      </x:c>
      <x:c r="E144" s="9" t="n">
        <x:v>615.3</x:v>
      </x:c>
      <x:c r="F144" s="9" t="n">
        <x:v>1214</x:v>
      </x:c>
      <x:c r="G144" s="9" t="n">
        <x:v>478</x:v>
      </x:c>
      <x:c r="H144" s="9" t="n">
        <x:v>530</x:v>
      </x:c>
      <x:c r="I144" s="9" t="n">
        <x:v>281</x:v>
      </x:c>
    </x:row>
    <x:row r="145" ht="23" customHeight="1">
      <x:c r="A145" s="8" t="d">
        <x:v>2011-12-01T00:00:00.000Z</x:v>
      </x:c>
      <x:c r="B145" s="9" t="n">
        <x:v>2200</x:v>
      </x:c>
      <x:c r="C145" s="9" t="n">
        <x:v>258.6</x:v>
      </x:c>
      <x:c r="D145" s="9" t="n">
        <x:v>1122</x:v>
      </x:c>
      <x:c r="E145" s="9" t="n">
        <x:v>585.8</x:v>
      </x:c>
      <x:c r="F145" s="9" t="n">
        <x:v>1203</x:v>
      </x:c>
      <x:c r="G145" s="9" t="n">
        <x:v>483</x:v>
      </x:c>
      <x:c r="H145" s="9" t="n">
        <x:v>510</x:v>
      </x:c>
      <x:c r="I145" s="9" t="n">
        <x:v>269</x:v>
      </x:c>
    </x:row>
    <x:row r="146" ht="23" customHeight="1">
      <x:c r="A146" s="8" t="d">
        <x:v>2012-01-01T00:00:00.000Z</x:v>
      </x:c>
      <x:c r="B146" s="9" t="n">
        <x:v>2310</x:v>
      </x:c>
      <x:c r="C146" s="9" t="n">
        <x:v>272.8</x:v>
      </x:c>
      <x:c r="D146" s="9" t="n">
        <x:v>1124</x:v>
      </x:c>
      <x:c r="E146" s="9" t="n">
        <x:v>542</x:v>
      </x:c>
      <x:c r="F146" s="9" t="n">
        <x:v>1216</x:v>
      </x:c>
      <x:c r="G146" s="9" t="n">
        <x:v>503</x:v>
      </x:c>
      <x:c r="H146" s="9" t="n">
        <x:v>520</x:v>
      </x:c>
      <x:c r="I146" s="9" t="n">
        <x:v>274.9</x:v>
      </x:c>
    </x:row>
    <x:row r="147" ht="23" customHeight="1">
      <x:c r="A147" s="8" t="d">
        <x:v>2012-02-01T00:00:00.000Z</x:v>
      </x:c>
      <x:c r="B147" s="9" t="n">
        <x:v>2360</x:v>
      </x:c>
      <x:c r="C147" s="9" t="n">
        <x:v>279.5</x:v>
      </x:c>
      <x:c r="D147" s="9" t="n">
        <x:v>1146</x:v>
      </x:c>
      <x:c r="E147" s="9" t="n">
        <x:v>537.5</x:v>
      </x:c>
      <x:c r="F147" s="9" t="n">
        <x:v>1249</x:v>
      </x:c>
      <x:c r="G147" s="9" t="n">
        <x:v>523</x:v>
      </x:c>
      <x:c r="H147" s="9" t="n">
        <x:v>530</x:v>
      </x:c>
      <x:c r="I147" s="9" t="n">
        <x:v>277.8</x:v>
      </x:c>
    </x:row>
    <x:row r="148" ht="23" customHeight="1">
      <x:c r="A148" s="8" t="d">
        <x:v>2012-03-01T00:00:00.000Z</x:v>
      </x:c>
      <x:c r="B148" s="9" t="n">
        <x:v>2360</x:v>
      </x:c>
      <x:c r="C148" s="9" t="n">
        <x:v>280.7</x:v>
      </x:c>
      <x:c r="D148" s="9" t="n">
        <x:v>1195</x:v>
      </x:c>
      <x:c r="E148" s="9" t="n">
        <x:v>548</x:v>
      </x:c>
      <x:c r="F148" s="9" t="n">
        <x:v>1285</x:v>
      </x:c>
      <x:c r="G148" s="9" t="n">
        <x:v>547</x:v>
      </x:c>
      <x:c r="H148" s="9" t="n">
        <x:v>530</x:v>
      </x:c>
      <x:c r="I148" s="9" t="n">
        <x:v>283.9</x:v>
      </x:c>
    </x:row>
    <x:row r="149" ht="23" customHeight="1">
      <x:c r="A149" s="8" t="d">
        <x:v>2012-04-01T00:00:00.000Z</x:v>
      </x:c>
      <x:c r="B149" s="9" t="n">
        <x:v>2270</x:v>
      </x:c>
      <x:c r="C149" s="9" t="n">
        <x:v>274</x:v>
      </x:c>
      <x:c r="D149" s="9" t="n">
        <x:v>1234</x:v>
      </x:c>
      <x:c r="E149" s="9" t="n">
        <x:v>547.8</x:v>
      </x:c>
      <x:c r="F149" s="9" t="n">
        <x:v>1309</x:v>
      </x:c>
      <x:c r="G149" s="9" t="n">
        <x:v>584</x:v>
      </x:c>
      <x:c r="H149" s="9" t="n">
        <x:v>500</x:v>
      </x:c>
      <x:c r="I149" s="9" t="n">
        <x:v>266.3</x:v>
      </x:c>
    </x:row>
    <x:row r="150" ht="23" customHeight="1">
      <x:c r="A150" s="8" t="d">
        <x:v>2012-05-01T00:00:00.000Z</x:v>
      </x:c>
      <x:c r="B150" s="9" t="n">
        <x:v>2310</x:v>
      </x:c>
      <x:c r="C150" s="9" t="n">
        <x:v>269.3</x:v>
      </x:c>
      <x:c r="D150" s="9" t="n">
        <x:v>1125</x:v>
      </x:c>
      <x:c r="E150" s="9" t="n">
        <x:v>600.5</x:v>
      </x:c>
      <x:c r="F150" s="9" t="n">
        <x:v>1221</x:v>
      </x:c>
      <x:c r="G150" s="9" t="n">
        <x:v>577</x:v>
      </x:c>
      <x:c r="H150" s="9" t="n">
        <x:v>460</x:v>
      </x:c>
      <x:c r="I150" s="9" t="n">
        <x:v>264.4</x:v>
      </x:c>
    </x:row>
    <x:row r="151" ht="23" customHeight="1">
      <x:c r="A151" s="8" t="d">
        <x:v>2012-06-01T00:00:00.000Z</x:v>
      </x:c>
      <x:c r="B151" s="9" t="n">
        <x:v>2260</x:v>
      </x:c>
      <x:c r="C151" s="9" t="n">
        <x:v>267.3</x:v>
      </x:c>
      <x:c r="D151" s="9" t="n">
        <x:v>1028</x:v>
      </x:c>
      <x:c r="E151" s="9" t="n">
        <x:v>600</x:v>
      </x:c>
      <x:c r="F151" s="9" t="n">
        <x:v>1182</x:v>
      </x:c>
      <x:c r="G151" s="9" t="n">
        <x:v>578</x:v>
      </x:c>
      <x:c r="H151" s="9" t="n">
        <x:v>450</x:v>
      </x:c>
      <x:c r="I151" s="9" t="n">
        <x:v>276.2</x:v>
      </x:c>
    </x:row>
    <x:row r="152" ht="23" customHeight="1">
      <x:c r="A152" s="8" t="d">
        <x:v>2012-07-01T00:00:00.000Z</x:v>
      </x:c>
      <x:c r="B152" s="9" t="n">
        <x:v>2350</x:v>
      </x:c>
      <x:c r="C152" s="9" t="n">
        <x:v>333.1</x:v>
      </x:c>
      <x:c r="D152" s="9" t="n">
        <x:v>1053</x:v>
      </x:c>
      <x:c r="E152" s="9" t="n">
        <x:v>573.8</x:v>
      </x:c>
      <x:c r="F152" s="9" t="n">
        <x:v>1239</x:v>
      </x:c>
      <x:c r="G152" s="9" t="n">
        <x:v>670</x:v>
      </x:c>
      <x:c r="H152" s="9" t="n">
        <x:v>500</x:v>
      </x:c>
      <x:c r="I152" s="9" t="n">
        <x:v>345.7</x:v>
      </x:c>
    </x:row>
    <x:row r="153" ht="23" customHeight="1">
      <x:c r="A153" s="8" t="d">
        <x:v>2012-08-01T00:00:00.000Z</x:v>
      </x:c>
      <x:c r="B153" s="9" t="n">
        <x:v>2510</x:v>
      </x:c>
      <x:c r="C153" s="9" t="n">
        <x:v>332</x:v>
      </x:c>
      <x:c r="D153" s="9" t="n">
        <x:v>1022</x:v>
      </x:c>
      <x:c r="E153" s="9" t="n">
        <x:v>567.8</x:v>
      </x:c>
      <x:c r="F153" s="9" t="n">
        <x:v>1250</x:v>
      </x:c>
      <x:c r="G153" s="9" t="n">
        <x:v>684</x:v>
      </x:c>
      <x:c r="H153" s="9" t="n">
        <x:v>460</x:v>
      </x:c>
      <x:c r="I153" s="9" t="n">
        <x:v>349.4</x:v>
      </x:c>
    </x:row>
    <x:row r="154" ht="23" customHeight="1">
      <x:c r="A154" s="8" t="d">
        <x:v>2012-09-01T00:00:00.000Z</x:v>
      </x:c>
      <x:c r="B154" s="9" t="n">
        <x:v>2620</x:v>
      </x:c>
      <x:c r="C154" s="9" t="n">
        <x:v>320.8</x:v>
      </x:c>
      <x:c r="D154" s="9" t="n">
        <x:v>1001</x:v>
      </x:c>
      <x:c r="E154" s="9" t="n">
        <x:v>563.3</x:v>
      </x:c>
      <x:c r="F154" s="9" t="n">
        <x:v>1281</x:v>
      </x:c>
      <x:c r="G154" s="9" t="n">
        <x:v>677</x:v>
      </x:c>
      <x:c r="H154" s="9" t="n">
        <x:v>440</x:v>
      </x:c>
      <x:c r="I154" s="9" t="n">
        <x:v>353.4</x:v>
      </x:c>
    </x:row>
    <x:row r="155" ht="23" customHeight="1">
      <x:c r="A155" s="8" t="d">
        <x:v>2012-10-01T00:00:00.000Z</x:v>
      </x:c>
      <x:c r="B155" s="9" t="n">
        <x:v>2460</x:v>
      </x:c>
      <x:c r="C155" s="9" t="n">
        <x:v>321.2</x:v>
      </x:c>
      <x:c r="D155" s="9" t="n">
        <x:v>886</x:v>
      </x:c>
      <x:c r="E155" s="9" t="n">
        <x:v>558.3</x:v>
      </x:c>
      <x:c r="F155" s="9" t="n">
        <x:v>1178</x:v>
      </x:c>
      <x:c r="G155" s="9" t="n">
        <x:v>626</x:v>
      </x:c>
      <x:c r="H155" s="9" t="n">
        <x:v>450</x:v>
      </x:c>
      <x:c r="I155" s="9" t="n">
        <x:v>358.2</x:v>
      </x:c>
    </x:row>
    <x:row r="156" ht="23" customHeight="1">
      <x:c r="A156" s="8" t="d">
        <x:v>2012-11-01T00:00:00.000Z</x:v>
      </x:c>
      <x:c r="B156" s="9" t="n">
        <x:v>2480</x:v>
      </x:c>
      <x:c r="C156" s="9" t="n">
        <x:v>321.6</x:v>
      </x:c>
      <x:c r="D156" s="9" t="n">
        <x:v>863</x:v>
      </x:c>
      <x:c r="E156" s="9" t="n">
        <x:v>559.3</x:v>
      </x:c>
      <x:c r="F156" s="9" t="n">
        <x:v>1138</x:v>
      </x:c>
      <x:c r="G156" s="9" t="n">
        <x:v>585</x:v>
      </x:c>
      <x:c r="H156" s="9" t="n">
        <x:v>430</x:v>
      </x:c>
      <x:c r="I156" s="9" t="n">
        <x:v>360.8</x:v>
      </x:c>
    </x:row>
    <x:row r="157" ht="23" customHeight="1">
      <x:c r="A157" s="8" t="d">
        <x:v>2012-12-01T00:00:00.000Z</x:v>
      </x:c>
      <x:c r="B157" s="9" t="n">
        <x:v>2410</x:v>
      </x:c>
      <x:c r="C157" s="9" t="n">
        <x:v>308.6</x:v>
      </x:c>
      <x:c r="D157" s="9" t="n">
        <x:v>844</x:v>
      </x:c>
      <x:c r="E157" s="9" t="n">
        <x:v>557.8</x:v>
      </x:c>
      <x:c r="F157" s="9" t="n">
        <x:v>1159</x:v>
      </x:c>
      <x:c r="G157" s="9" t="n">
        <x:v>591</x:v>
      </x:c>
      <x:c r="H157" s="9" t="n">
        <x:v>430</x:v>
      </x:c>
      <x:c r="I157" s="9" t="n">
        <x:v>348</x:v>
      </x:c>
    </x:row>
    <x:row r="158" ht="23" customHeight="1">
      <x:c r="A158" s="8" t="d">
        <x:v>2013-01-01T00:00:00.000Z</x:v>
      </x:c>
      <x:c r="B158" s="9" t="n">
        <x:v>2280</x:v>
      </x:c>
      <x:c r="C158" s="9" t="n">
        <x:v>303.1</x:v>
      </x:c>
      <x:c r="D158" s="9" t="n">
        <x:v>885</x:v>
      </x:c>
      <x:c r="E158" s="9" t="n">
        <x:v>564.2</x:v>
      </x:c>
      <x:c r="F158" s="9" t="n">
        <x:v>1192</x:v>
      </x:c>
      <x:c r="G158" s="9" t="n">
        <x:v>595</x:v>
      </x:c>
      <x:c r="H158" s="9" t="n">
        <x:v>420</x:v>
      </x:c>
      <x:c r="I158" s="9" t="n">
        <x:v>335.5</x:v>
      </x:c>
    </x:row>
    <x:row r="159" ht="23" customHeight="1">
      <x:c r="A159" s="8" t="d">
        <x:v>2013-02-01T00:00:00.000Z</x:v>
      </x:c>
      <x:c r="B159" s="9" t="n">
        <x:v>2200</x:v>
      </x:c>
      <x:c r="C159" s="9" t="n">
        <x:v>302.7</x:v>
      </x:c>
      <x:c r="D159" s="9" t="n">
        <x:v>920</x:v>
      </x:c>
      <x:c r="E159" s="9" t="n">
        <x:v>563</x:v>
      </x:c>
      <x:c r="F159" s="9" t="n">
        <x:v>1173</x:v>
      </x:c>
      <x:c r="G159" s="9" t="n">
        <x:v>611</x:v>
      </x:c>
      <x:c r="H159" s="9" t="n">
        <x:v>400</x:v>
      </x:c>
      <x:c r="I159" s="9" t="n">
        <x:v>318.9</x:v>
      </x:c>
    </x:row>
    <x:row r="160" ht="23" customHeight="1">
      <x:c r="A160" s="8" t="d">
        <x:v>2013-03-01T00:00:00.000Z</x:v>
      </x:c>
      <x:c r="B160" s="9" t="n">
        <x:v>2150</x:v>
      </x:c>
      <x:c r="C160" s="9" t="n">
        <x:v>309</x:v>
      </x:c>
      <x:c r="D160" s="9" t="n">
        <x:v>892</x:v>
      </x:c>
      <x:c r="E160" s="9" t="n">
        <x:v>559</x:v>
      </x:c>
      <x:c r="F160" s="9" t="n">
        <x:v>1117</x:v>
      </x:c>
      <x:c r="G160" s="9" t="n">
        <x:v>585</x:v>
      </x:c>
      <x:c r="H160" s="9" t="n">
        <x:v>410</x:v>
      </x:c>
      <x:c r="I160" s="9" t="n">
        <x:v>309.7</x:v>
      </x:c>
    </x:row>
    <x:row r="161" ht="23" customHeight="1">
      <x:c r="A161" s="8" t="d">
        <x:v>2013-04-01T00:00:00.000Z</x:v>
      </x:c>
      <x:c r="B161" s="9" t="n">
        <x:v>2290</x:v>
      </x:c>
      <x:c r="C161" s="9" t="n">
        <x:v>279.9</x:v>
      </x:c>
      <x:c r="D161" s="9" t="n">
        <x:v>874</x:v>
      </x:c>
      <x:c r="E161" s="9" t="n">
        <x:v>557</x:v>
      </x:c>
      <x:c r="F161" s="9" t="n">
        <x:v>1095</x:v>
      </x:c>
      <x:c r="G161" s="9" t="n">
        <x:v>564</x:v>
      </x:c>
      <x:c r="H161" s="9" t="n">
        <x:v>390</x:v>
      </x:c>
      <x:c r="I161" s="9" t="n">
        <x:v>308.3</x:v>
      </x:c>
    </x:row>
    <x:row r="162" ht="23" customHeight="1">
      <x:c r="A162" s="8" t="d">
        <x:v>2013-05-01T00:00:00.000Z</x:v>
      </x:c>
      <x:c r="B162" s="9" t="n">
        <x:v>2340</x:v>
      </x:c>
      <x:c r="C162" s="9" t="n">
        <x:v>295.5</x:v>
      </x:c>
      <x:c r="D162" s="9" t="n">
        <x:v>879</x:v>
      </x:c>
      <x:c r="E162" s="9" t="n">
        <x:v>543.5</x:v>
      </x:c>
      <x:c r="F162" s="9" t="n">
        <x:v>1073</x:v>
      </x:c>
      <x:c r="G162" s="9" t="n">
        <x:v>498</x:v>
      </x:c>
      <x:c r="H162" s="9" t="n">
        <x:v>390</x:v>
      </x:c>
      <x:c r="I162" s="9" t="n">
        <x:v>319.7</x:v>
      </x:c>
    </x:row>
    <x:row r="163" ht="23" customHeight="1">
      <x:c r="A163" s="8" t="d">
        <x:v>2013-06-01T00:00:00.000Z</x:v>
      </x:c>
      <x:c r="B163" s="9" t="n">
        <x:v>2280</x:v>
      </x:c>
      <x:c r="C163" s="9" t="n">
        <x:v>298.4</x:v>
      </x:c>
      <x:c r="D163" s="9" t="n">
        <x:v>877</x:v>
      </x:c>
      <x:c r="E163" s="9" t="n">
        <x:v>524.3</x:v>
      </x:c>
      <x:c r="F163" s="9" t="n">
        <x:v>1038</x:v>
      </x:c>
      <x:c r="G163" s="9" t="n">
        <x:v>525</x:v>
      </x:c>
      <x:c r="H163" s="9" t="n">
        <x:v>380</x:v>
      </x:c>
      <x:c r="I163" s="9" t="n">
        <x:v>313.4</x:v>
      </x:c>
    </x:row>
    <x:row r="164" ht="23" customHeight="1">
      <x:c r="A164" s="8" t="d">
        <x:v>2013-07-01T00:00:00.000Z</x:v>
      </x:c>
      <x:c r="B164" s="9" t="n">
        <x:v>2310</x:v>
      </x:c>
      <x:c r="C164" s="9" t="n">
        <x:v>279.5</x:v>
      </x:c>
      <x:c r="D164" s="9" t="n">
        <x:v>827</x:v>
      </x:c>
      <x:c r="E164" s="9" t="n">
        <x:v>509</x:v>
      </x:c>
      <x:c r="F164" s="9" t="n">
        <x:v>990</x:v>
      </x:c>
      <x:c r="G164" s="9" t="n">
        <x:v>511</x:v>
      </x:c>
      <x:c r="H164" s="9" t="n">
        <x:v>370</x:v>
      </x:c>
      <x:c r="I164" s="9" t="n">
        <x:v>304.6</x:v>
      </x:c>
    </x:row>
    <x:row r="165" ht="23" customHeight="1">
      <x:c r="A165" s="8" t="d">
        <x:v>2013-08-01T00:00:00.000Z</x:v>
      </x:c>
      <x:c r="B165" s="9" t="n">
        <x:v>2480</x:v>
      </x:c>
      <x:c r="C165" s="9" t="n">
        <x:v>238.7</x:v>
      </x:c>
      <x:c r="D165" s="9" t="n">
        <x:v>819</x:v>
      </x:c>
      <x:c r="E165" s="9" t="n">
        <x:v>478.8</x:v>
      </x:c>
      <x:c r="F165" s="9" t="n">
        <x:v>995</x:v>
      </x:c>
      <x:c r="G165" s="9" t="n">
        <x:v>512</x:v>
      </x:c>
      <x:c r="H165" s="9" t="n">
        <x:v>380</x:v>
      </x:c>
      <x:c r="I165" s="9" t="n">
        <x:v>305.3</x:v>
      </x:c>
    </x:row>
    <x:row r="166" ht="23" customHeight="1">
      <x:c r="A166" s="8" t="d">
        <x:v>2013-09-01T00:00:00.000Z</x:v>
      </x:c>
      <x:c r="B166" s="9" t="n">
        <x:v>2620</x:v>
      </x:c>
      <x:c r="C166" s="9" t="n">
        <x:v>207.4</x:v>
      </x:c>
      <x:c r="D166" s="9" t="n">
        <x:v>826</x:v>
      </x:c>
      <x:c r="E166" s="9" t="n">
        <x:v>444</x:v>
      </x:c>
      <x:c r="F166" s="9" t="n">
        <x:v>1020</x:v>
      </x:c>
      <x:c r="G166" s="9" t="n">
        <x:v>560</x:v>
      </x:c>
      <x:c r="H166" s="9" t="n">
        <x:v>380</x:v>
      </x:c>
      <x:c r="I166" s="9" t="n">
        <x:v>307.5</x:v>
      </x:c>
    </x:row>
    <x:row r="167" ht="23" customHeight="1">
      <x:c r="A167" s="8" t="d">
        <x:v>2013-10-01T00:00:00.000Z</x:v>
      </x:c>
      <x:c r="B167" s="9" t="n">
        <x:v>2730</x:v>
      </x:c>
      <x:c r="C167" s="9" t="n">
        <x:v>201.7</x:v>
      </x:c>
      <x:c r="D167" s="9" t="n">
        <x:v>860</x:v>
      </x:c>
      <x:c r="E167" s="9" t="n">
        <x:v>439</x:v>
      </x:c>
      <x:c r="F167" s="9" t="n">
        <x:v>991</x:v>
      </x:c>
      <x:c r="G167" s="9" t="n">
        <x:v>541</x:v>
      </x:c>
      <x:c r="H167" s="9" t="n">
        <x:v>410</x:v>
      </x:c>
      <x:c r="I167" s="9" t="n">
        <x:v>325.7</x:v>
      </x:c>
    </x:row>
    <x:row r="168" ht="23" customHeight="1">
      <x:c r="A168" s="8" t="d">
        <x:v>2013-11-01T00:00:00.000Z</x:v>
      </x:c>
      <x:c r="B168" s="9" t="n">
        <x:v>2760</x:v>
      </x:c>
      <x:c r="C168" s="9" t="n">
        <x:v>199.1</x:v>
      </x:c>
      <x:c r="D168" s="9" t="n">
        <x:v>904</x:v>
      </x:c>
      <x:c r="E168" s="9" t="n">
        <x:v>438</x:v>
      </x:c>
      <x:c r="F168" s="9" t="n">
        <x:v>990</x:v>
      </x:c>
      <x:c r="G168" s="9" t="n">
        <x:v>551</x:v>
      </x:c>
      <x:c r="H168" s="9" t="n">
        <x:v>390</x:v>
      </x:c>
      <x:c r="I168" s="9" t="n">
        <x:v>306.8</x:v>
      </x:c>
    </x:row>
    <x:row r="169" ht="23" customHeight="1">
      <x:c r="A169" s="8" t="d">
        <x:v>2013-12-01T00:00:00.000Z</x:v>
      </x:c>
      <x:c r="B169" s="9" t="n">
        <x:v>2820</x:v>
      </x:c>
      <x:c r="C169" s="9" t="n">
        <x:v>197.4</x:v>
      </x:c>
      <x:c r="D169" s="9" t="n">
        <x:v>886</x:v>
      </x:c>
      <x:c r="E169" s="9" t="n">
        <x:v>451</x:v>
      </x:c>
      <x:c r="F169" s="9" t="n">
        <x:v>991</x:v>
      </x:c>
      <x:c r="G169" s="9" t="n">
        <x:v>564</x:v>
      </x:c>
      <x:c r="H169" s="9" t="n">
        <x:v>360</x:v>
      </x:c>
      <x:c r="I169" s="9" t="n">
        <x:v>291.6</x:v>
      </x:c>
    </x:row>
    <x:row r="170" ht="23" customHeight="1">
      <x:c r="A170" s="8" t="d">
        <x:v>2014-01-01T00:00:00.000Z</x:v>
      </x:c>
      <x:c r="B170" s="9" t="n">
        <x:v>2820</x:v>
      </x:c>
      <x:c r="C170" s="9" t="n">
        <x:v>198.1</x:v>
      </x:c>
      <x:c r="D170" s="9" t="n">
        <x:v>863</x:v>
      </x:c>
      <x:c r="E170" s="9" t="n">
        <x:v>450</x:v>
      </x:c>
      <x:c r="F170" s="9" t="n">
        <x:v>942</x:v>
      </x:c>
      <x:c r="G170" s="9" t="n">
        <x:v>566</x:v>
      </x:c>
      <x:c r="H170" s="9" t="n">
        <x:v>340</x:v>
      </x:c>
      <x:c r="I170" s="9" t="n">
        <x:v>275.6</x:v>
      </x:c>
    </x:row>
    <x:row r="171" ht="23" customHeight="1">
      <x:c r="A171" s="8" t="d">
        <x:v>2014-02-01T00:00:00.000Z</x:v>
      </x:c>
      <x:c r="B171" s="9" t="n">
        <x:v>2990</x:v>
      </x:c>
      <x:c r="C171" s="9" t="n">
        <x:v>209.3</x:v>
      </x:c>
      <x:c r="D171" s="9" t="n">
        <x:v>904</x:v>
      </x:c>
      <x:c r="E171" s="9" t="n">
        <x:v>459</x:v>
      </x:c>
      <x:c r="F171" s="9" t="n">
        <x:v>971</x:v>
      </x:c>
      <x:c r="G171" s="9" t="n">
        <x:v>491</x:v>
      </x:c>
      <x:c r="H171" s="9" t="n">
        <x:v>370</x:v>
      </x:c>
      <x:c r="I171" s="9" t="n">
        <x:v>292.1</x:v>
      </x:c>
    </x:row>
    <x:row r="172" ht="23" customHeight="1">
      <x:c r="A172" s="8" t="d">
        <x:v>2014-03-01T00:00:00.000Z</x:v>
      </x:c>
      <x:c r="B172" s="9" t="n">
        <x:v>3040</x:v>
      </x:c>
      <x:c r="C172" s="9" t="n">
        <x:v>222.3</x:v>
      </x:c>
      <x:c r="D172" s="9" t="n">
        <x:v>954</x:v>
      </x:c>
      <x:c r="E172" s="9" t="n">
        <x:v>422</x:v>
      </x:c>
      <x:c r="F172" s="9" t="n">
        <x:v>997</x:v>
      </x:c>
      <x:c r="G172" s="9" t="n">
        <x:v>531</x:v>
      </x:c>
      <x:c r="H172" s="9" t="n">
        <x:v>390</x:v>
      </x:c>
      <x:c r="I172" s="9" t="n">
        <x:v>323.7</x:v>
      </x:c>
    </x:row>
    <x:row r="173" ht="23" customHeight="1">
      <x:c r="A173" s="8" t="d">
        <x:v>2014-04-01T00:00:00.000Z</x:v>
      </x:c>
      <x:c r="B173" s="9" t="n">
        <x:v>3050</x:v>
      </x:c>
      <x:c r="C173" s="9" t="n">
        <x:v>222.4</x:v>
      </x:c>
      <x:c r="D173" s="9" t="n">
        <x:v>927</x:v>
      </x:c>
      <x:c r="E173" s="9" t="n">
        <x:v>395</x:v>
      </x:c>
      <x:c r="F173" s="9" t="n">
        <x:v>1002</x:v>
      </x:c>
      <x:c r="G173" s="9" t="n">
        <x:v>516</x:v>
      </x:c>
      <x:c r="H173" s="9" t="n">
        <x:v>390</x:v>
      </x:c>
      <x:c r="I173" s="9" t="n">
        <x:v>324.8</x:v>
      </x:c>
    </x:row>
    <x:row r="174" ht="23" customHeight="1">
      <x:c r="A174" s="8" t="d">
        <x:v>2014-05-01T00:00:00.000Z</x:v>
      </x:c>
      <x:c r="B174" s="9" t="n">
        <x:v>3030</x:v>
      </x:c>
      <x:c r="C174" s="9" t="n">
        <x:v>217.3</x:v>
      </x:c>
      <x:c r="D174" s="9" t="n">
        <x:v>898</x:v>
      </x:c>
      <x:c r="E174" s="9" t="n">
        <x:v>388</x:v>
      </x:c>
      <x:c r="F174" s="9" t="n">
        <x:v>962</x:v>
      </x:c>
      <x:c r="G174" s="9" t="n">
        <x:v>519</x:v>
      </x:c>
      <x:c r="H174" s="9" t="n">
        <x:v>400</x:v>
      </x:c>
      <x:c r="I174" s="9" t="n">
        <x:v>334.7</x:v>
      </x:c>
    </x:row>
    <x:row r="175" ht="23" customHeight="1">
      <x:c r="A175" s="8" t="d">
        <x:v>2014-06-01T00:00:00.000Z</x:v>
      </x:c>
      <x:c r="B175" s="9" t="n">
        <x:v>3170</x:v>
      </x:c>
      <x:c r="C175" s="9" t="n">
        <x:v>202.4</x:v>
      </x:c>
      <x:c r="D175" s="9" t="n">
        <x:v>862</x:v>
      </x:c>
      <x:c r="E175" s="9" t="n">
        <x:v>397</x:v>
      </x:c>
      <x:c r="F175" s="9" t="n">
        <x:v>926</x:v>
      </x:c>
      <x:c r="G175" s="9" t="n">
        <x:v>511</x:v>
      </x:c>
      <x:c r="H175" s="9" t="n">
        <x:v>400</x:v>
      </x:c>
      <x:c r="I175" s="9" t="n">
        <x:v>306.4</x:v>
      </x:c>
    </x:row>
    <x:row r="176" ht="23" customHeight="1">
      <x:c r="A176" s="8" t="d">
        <x:v>2014-07-01T00:00:00.000Z</x:v>
      </x:c>
      <x:c r="B176" s="9" t="n">
        <x:v>3200</x:v>
      </x:c>
      <x:c r="C176" s="9" t="n">
        <x:v>182.7</x:v>
      </x:c>
      <x:c r="D176" s="9" t="n">
        <x:v>854</x:v>
      </x:c>
      <x:c r="E176" s="9" t="n">
        <x:v>422</x:v>
      </x:c>
      <x:c r="F176" s="9" t="n">
        <x:v>897</x:v>
      </x:c>
      <x:c r="G176" s="9" t="n">
        <x:v>472</x:v>
      </x:c>
      <x:c r="H176" s="9" t="n">
        <x:v>400</x:v>
      </x:c>
      <x:c r="I176" s="9" t="n">
        <x:v>280.4</x:v>
      </x:c>
    </x:row>
    <x:row r="177" ht="23" customHeight="1">
      <x:c r="A177" s="8" t="d">
        <x:v>2014-08-01T00:00:00.000Z</x:v>
      </x:c>
      <x:c r="B177" s="9" t="n">
        <x:v>3270</x:v>
      </x:c>
      <x:c r="C177" s="9" t="n">
        <x:v>176.4</x:v>
      </x:c>
      <x:c r="D177" s="9" t="n">
        <x:v>779</x:v>
      </x:c>
      <x:c r="E177" s="9" t="n">
        <x:v>445</x:v>
      </x:c>
      <x:c r="F177" s="9" t="n">
        <x:v>862</x:v>
      </x:c>
      <x:c r="G177" s="9" t="n">
        <x:v>459</x:v>
      </x:c>
      <x:c r="H177" s="9" t="n">
        <x:v>380</x:v>
      </x:c>
      <x:c r="I177" s="9" t="n">
        <x:v>263.5</x:v>
      </x:c>
    </x:row>
    <x:row r="178" ht="23" customHeight="1">
      <x:c r="A178" s="8" t="d">
        <x:v>2014-09-01T00:00:00.000Z</x:v>
      </x:c>
      <x:c r="B178" s="9" t="n">
        <x:v>3210</x:v>
      </x:c>
      <x:c r="C178" s="9" t="n">
        <x:v>163.1</x:v>
      </x:c>
      <x:c r="D178" s="9" t="n">
        <x:v>761</x:v>
      </x:c>
      <x:c r="E178" s="9" t="n">
        <x:v>432</x:v>
      </x:c>
      <x:c r="F178" s="9" t="n">
        <x:v>840</x:v>
      </x:c>
      <x:c r="G178" s="9" t="n">
        <x:v>430</x:v>
      </x:c>
      <x:c r="H178" s="9" t="n">
        <x:v>350</x:v>
      </x:c>
      <x:c r="I178" s="9" t="n">
        <x:v>243.6</x:v>
      </x:c>
    </x:row>
    <x:row r="179" ht="23" customHeight="1">
      <x:c r="A179" s="8" t="d">
        <x:v>2014-10-01T00:00:00.000Z</x:v>
      </x:c>
      <x:c r="B179" s="9" t="n">
        <x:v>3100</x:v>
      </x:c>
      <x:c r="C179" s="9" t="n">
        <x:v>163.1</x:v>
      </x:c>
      <x:c r="D179" s="9" t="n">
        <x:v>764</x:v>
      </x:c>
      <x:c r="E179" s="9" t="n">
        <x:v>428</x:v>
      </x:c>
      <x:c r="F179" s="9" t="n">
        <x:v>833</x:v>
      </x:c>
      <x:c r="G179" s="9" t="n">
        <x:v>426</x:v>
      </x:c>
      <x:c r="H179" s="9" t="n">
        <x:v>370</x:v>
      </x:c>
      <x:c r="I179" s="9" t="n">
        <x:v>245.4</x:v>
      </x:c>
    </x:row>
    <x:row r="180" ht="23" customHeight="1">
      <x:c r="A180" s="8" t="d">
        <x:v>2014-11-01T00:00:00.000Z</x:v>
      </x:c>
      <x:c r="B180" s="9" t="n">
        <x:v>2910</x:v>
      </x:c>
      <x:c r="C180" s="9" t="n">
        <x:v>178.7</x:v>
      </x:c>
      <x:c r="D180" s="9" t="n">
        <x:v>765</x:v>
      </x:c>
      <x:c r="E180" s="9" t="n">
        <x:v>418</x:v>
      </x:c>
      <x:c r="F180" s="9" t="n">
        <x:v>826</x:v>
      </x:c>
      <x:c r="G180" s="9" t="n">
        <x:v>450</x:v>
      </x:c>
      <x:c r="H180" s="9" t="n">
        <x:v>360</x:v>
      </x:c>
      <x:c r="I180" s="9" t="n">
        <x:v>258.7</x:v>
      </x:c>
    </x:row>
    <x:row r="181" ht="23" customHeight="1">
      <x:c r="A181" s="8" t="d">
        <x:v>2014-12-01T00:00:00.000Z</x:v>
      </x:c>
      <x:c r="B181" s="9" t="n">
        <x:v>2950</x:v>
      </x:c>
      <x:c r="C181" s="9" t="n">
        <x:v>178.7</x:v>
      </x:c>
      <x:c r="D181" s="9" t="n">
        <x:v>720</x:v>
      </x:c>
      <x:c r="E181" s="9" t="n">
        <x:v>418</x:v>
      </x:c>
      <x:c r="F181" s="9" t="n">
        <x:v>815</x:v>
      </x:c>
      <x:c r="G181" s="9" t="n">
        <x:v>448</x:v>
      </x:c>
      <x:c r="H181" s="9" t="n">
        <x:v>340</x:v>
      </x:c>
      <x:c r="I181" s="9" t="n">
        <x:v>269.7</x:v>
      </x:c>
    </x:row>
    <x:row r="182" ht="23" customHeight="1">
      <x:c r="A182" s="8" t="d">
        <x:v>2015-01-01T00:00:00.000Z</x:v>
      </x:c>
      <x:c r="B182" s="9" t="n">
        <x:v>2920</x:v>
      </x:c>
      <x:c r="C182" s="9" t="n">
        <x:v>174.7</x:v>
      </x:c>
      <x:c r="D182" s="9" t="n">
        <x:v>720</x:v>
      </x:c>
      <x:c r="E182" s="9" t="n">
        <x:v>420</x:v>
      </x:c>
      <x:c r="F182" s="9" t="n">
        <x:v>797</x:v>
      </x:c>
      <x:c r="G182" s="9" t="n">
        <x:v>433</x:v>
      </x:c>
      <x:c r="H182" s="9" t="n">
        <x:v>340</x:v>
      </x:c>
      <x:c r="I182" s="9" t="n">
        <x:v>248.4</x:v>
      </x:c>
    </x:row>
    <x:row r="183" ht="23" customHeight="1">
      <x:c r="A183" s="8" t="d">
        <x:v>2015-02-01T00:00:00.000Z</x:v>
      </x:c>
      <x:c r="B183" s="9" t="n">
        <x:v>2960</x:v>
      </x:c>
      <x:c r="C183" s="9" t="n">
        <x:v>173.7</x:v>
      </x:c>
      <x:c r="D183" s="9" t="n">
        <x:v>723</x:v>
      </x:c>
      <x:c r="E183" s="9" t="n">
        <x:v>420</x:v>
      </x:c>
      <x:c r="F183" s="9" t="n">
        <x:v>763</x:v>
      </x:c>
      <x:c r="G183" s="9" t="n">
        <x:v>424</x:v>
      </x:c>
      <x:c r="H183" s="9" t="n">
        <x:v>320</x:v>
      </x:c>
      <x:c r="I183" s="9" t="n">
        <x:v>237</x:v>
      </x:c>
    </x:row>
    <x:row r="184" ht="23" customHeight="1">
      <x:c r="A184" s="8" t="d">
        <x:v>2015-03-01T00:00:00.000Z</x:v>
      </x:c>
      <x:c r="B184" s="9" t="n">
        <x:v>2880</x:v>
      </x:c>
      <x:c r="C184" s="9" t="n">
        <x:v>174.2</x:v>
      </x:c>
      <x:c r="D184" s="9" t="n">
        <x:v>699</x:v>
      </x:c>
      <x:c r="E184" s="9" t="n">
        <x:v>410</x:v>
      </x:c>
      <x:c r="F184" s="9" t="n">
        <x:v>750</x:v>
      </x:c>
      <x:c r="G184" s="9" t="n">
        <x:v>410</x:v>
      </x:c>
      <x:c r="H184" s="9" t="n">
        <x:v>290</x:v>
      </x:c>
      <x:c r="I184" s="9" t="n">
        <x:v>230.8</x:v>
      </x:c>
    </x:row>
    <x:row r="185" ht="23" customHeight="1">
      <x:c r="A185" s="8" t="d">
        <x:v>2015-04-01T00:00:00.000Z</x:v>
      </x:c>
      <x:c r="B185" s="9" t="n">
        <x:v>2870</x:v>
      </x:c>
      <x:c r="C185" s="9" t="n">
        <x:v>172.1</x:v>
      </x:c>
      <x:c r="D185" s="9" t="n">
        <x:v>683</x:v>
      </x:c>
      <x:c r="E185" s="9" t="n">
        <x:v>399</x:v>
      </x:c>
      <x:c r="F185" s="9" t="n">
        <x:v>748</x:v>
      </x:c>
      <x:c r="G185" s="9" t="n">
        <x:v>395</x:v>
      </x:c>
      <x:c r="H185" s="9" t="n">
        <x:v>290</x:v>
      </x:c>
      <x:c r="I185" s="9" t="n">
        <x:v>223.4</x:v>
      </x:c>
    </x:row>
    <x:row r="186" ht="23" customHeight="1">
      <x:c r="A186" s="8" t="d">
        <x:v>2015-05-01T00:00:00.000Z</x:v>
      </x:c>
      <x:c r="B186" s="9" t="n">
        <x:v>3100</x:v>
      </x:c>
      <x:c r="C186" s="9" t="n">
        <x:v>166.3</x:v>
      </x:c>
      <x:c r="D186" s="9" t="n">
        <x:v>697</x:v>
      </x:c>
      <x:c r="E186" s="9" t="n">
        <x:v>381</x:v>
      </x:c>
      <x:c r="F186" s="9" t="n">
        <x:v>785</x:v>
      </x:c>
      <x:c r="G186" s="9" t="n">
        <x:v>388</x:v>
      </x:c>
      <x:c r="H186" s="9" t="n">
        <x:v>290</x:v>
      </x:c>
      <x:c r="I186" s="9" t="n">
        <x:v>215.3</x:v>
      </x:c>
    </x:row>
    <x:row r="187" ht="23" customHeight="1">
      <x:c r="A187" s="8" t="d">
        <x:v>2015-06-01T00:00:00.000Z</x:v>
      </x:c>
      <x:c r="B187" s="9" t="n">
        <x:v>3240</x:v>
      </x:c>
      <x:c r="C187" s="9" t="n">
        <x:v>166.7</x:v>
      </x:c>
      <x:c r="D187" s="9" t="n">
        <x:v>706</x:v>
      </x:c>
      <x:c r="E187" s="9" t="n">
        <x:v>376</x:v>
      </x:c>
      <x:c r="F187" s="9" t="n">
        <x:v>788</x:v>
      </x:c>
      <x:c r="G187" s="9" t="n">
        <x:v>391</x:v>
      </x:c>
      <x:c r="H187" s="9" t="n">
        <x:v>270</x:v>
      </x:c>
      <x:c r="I187" s="9" t="n">
        <x:v>209.8</x:v>
      </x:c>
    </x:row>
    <x:row r="188" ht="23" customHeight="1">
      <x:c r="A188" s="8" t="d">
        <x:v>2015-07-01T00:00:00.000Z</x:v>
      </x:c>
      <x:c r="B188" s="9" t="n">
        <x:v>3330</x:v>
      </x:c>
      <x:c r="C188" s="9" t="n">
        <x:v>179.6</x:v>
      </x:c>
      <x:c r="D188" s="9" t="n">
        <x:v>680</x:v>
      </x:c>
      <x:c r="E188" s="9" t="n">
        <x:v>392</x:v>
      </x:c>
      <x:c r="F188" s="9" t="n">
        <x:v>752</x:v>
      </x:c>
      <x:c r="G188" s="9" t="n">
        <x:v>406</x:v>
      </x:c>
      <x:c r="H188" s="9" t="n">
        <x:v>280</x:v>
      </x:c>
      <x:c r="I188" s="9" t="n">
        <x:v>197.3</x:v>
      </x:c>
    </x:row>
    <x:row r="189" ht="23" customHeight="1">
      <x:c r="A189" s="8" t="d">
        <x:v>2015-08-01T00:00:00.000Z</x:v>
      </x:c>
      <x:c r="B189" s="9" t="n">
        <x:v>3150</x:v>
      </x:c>
      <x:c r="C189" s="9" t="n">
        <x:v>162.6</x:v>
      </x:c>
      <x:c r="D189" s="9" t="n">
        <x:v>601</x:v>
      </x:c>
      <x:c r="E189" s="9" t="n">
        <x:v>373</x:v>
      </x:c>
      <x:c r="F189" s="9" t="n">
        <x:v>728</x:v>
      </x:c>
      <x:c r="G189" s="9" t="n">
        <x:v>379</x:v>
      </x:c>
      <x:c r="H189" s="9" t="n">
        <x:v>250</x:v>
      </x:c>
      <x:c r="I189" s="9" t="n">
        <x:v>179.7</x:v>
      </x:c>
    </x:row>
    <x:row r="190" ht="23" customHeight="1">
      <x:c r="A190" s="8" t="d">
        <x:v>2015-09-01T00:00:00.000Z</x:v>
      </x:c>
      <x:c r="B190" s="9" t="n">
        <x:v>3280</x:v>
      </x:c>
      <x:c r="C190" s="9" t="n">
        <x:v>165.6</x:v>
      </x:c>
      <x:c r="D190" s="9" t="n">
        <x:v>600</x:v>
      </x:c>
      <x:c r="E190" s="9" t="n">
        <x:v>357</x:v>
      </x:c>
      <x:c r="F190" s="9" t="n">
        <x:v>720</x:v>
      </x:c>
      <x:c r="G190" s="9" t="n">
        <x:v>367</x:v>
      </x:c>
      <x:c r="H190" s="9" t="n">
        <x:v>260</x:v>
      </x:c>
      <x:c r="I190" s="9" t="n">
        <x:v>172.7</x:v>
      </x:c>
    </x:row>
    <x:row r="191" ht="23" customHeight="1">
      <x:c r="A191" s="8" t="d">
        <x:v>2015-10-01T00:00:00.000Z</x:v>
      </x:c>
      <x:c r="B191" s="9" t="n">
        <x:v>3200</x:v>
      </x:c>
      <x:c r="C191" s="9" t="n">
        <x:v>171.4</x:v>
      </x:c>
      <x:c r="D191" s="9" t="n">
        <x:v>637</x:v>
      </x:c>
      <x:c r="E191" s="9" t="n">
        <x:v>373</x:v>
      </x:c>
      <x:c r="F191" s="9" t="n">
        <x:v>743</x:v>
      </x:c>
      <x:c r="G191" s="9" t="n">
        <x:v>376</x:v>
      </x:c>
      <x:c r="H191" s="9" t="n">
        <x:v>310</x:v>
      </x:c>
      <x:c r="I191" s="9" t="n">
        <x:v>172.7</x:v>
      </x:c>
    </x:row>
    <x:row r="192" ht="23" customHeight="1">
      <x:c r="A192" s="8" t="d">
        <x:v>2015-11-01T00:00:00.000Z</x:v>
      </x:c>
      <x:c r="B192" s="9" t="n">
        <x:v>3360</x:v>
      </x:c>
      <x:c r="C192" s="9" t="n">
        <x:v>166.2</x:v>
      </x:c>
      <x:c r="D192" s="9" t="n">
        <x:v>608</x:v>
      </x:c>
      <x:c r="E192" s="9" t="n">
        <x:v>368</x:v>
      </x:c>
      <x:c r="F192" s="9" t="n">
        <x:v>727</x:v>
      </x:c>
      <x:c r="G192" s="9" t="n">
        <x:v>368</x:v>
      </x:c>
      <x:c r="H192" s="9" t="n">
        <x:v>320</x:v>
      </x:c>
      <x:c r="I192" s="9" t="n">
        <x:v>177.1</x:v>
      </x:c>
    </x:row>
    <x:row r="193" ht="23" customHeight="1">
      <x:c r="A193" s="8" t="d">
        <x:v>2015-12-01T00:00:00.000Z</x:v>
      </x:c>
      <x:c r="B193" s="9" t="n">
        <x:v>3350</x:v>
      </x:c>
      <x:c r="C193" s="9" t="n">
        <x:v>163.9</x:v>
      </x:c>
      <x:c r="D193" s="9" t="n">
        <x:v>607</x:v>
      </x:c>
      <x:c r="E193" s="9" t="n">
        <x:v>363</x:v>
      </x:c>
      <x:c r="F193" s="9" t="n">
        <x:v>766</x:v>
      </x:c>
      <x:c r="G193" s="9" t="n">
        <x:v>368</x:v>
      </x:c>
      <x:c r="H193" s="9" t="n">
        <x:v>320</x:v>
      </x:c>
      <x:c r="I193" s="9" t="n">
        <x:v>189.2</x:v>
      </x:c>
    </x:row>
    <x:row r="194" ht="23" customHeight="1">
      <x:c r="A194" s="8" t="d">
        <x:v>2016-01-01T00:00:00.000Z</x:v>
      </x:c>
      <x:c r="B194" s="9" t="n">
        <x:v>2950</x:v>
      </x:c>
      <x:c r="C194" s="9" t="n">
        <x:v>161</x:v>
      </x:c>
      <x:c r="D194" s="9" t="n">
        <x:v>612</x:v>
      </x:c>
      <x:c r="E194" s="9" t="n">
        <x:v>369</x:v>
      </x:c>
      <x:c r="F194" s="9" t="n">
        <x:v>736</x:v>
      </x:c>
      <x:c r="G194" s="9" t="n">
        <x:v>373</x:v>
      </x:c>
      <x:c r="H194" s="9" t="n">
        <x:v>310</x:v>
      </x:c>
      <x:c r="I194" s="9" t="n">
        <x:v>193.3</x:v>
      </x:c>
    </x:row>
    <x:row r="195" ht="23" customHeight="1">
      <x:c r="A195" s="8" t="d">
        <x:v>2016-02-01T00:00:00.000Z</x:v>
      </x:c>
      <x:c r="B195" s="9" t="n">
        <x:v>2920</x:v>
      </x:c>
      <x:c r="C195" s="9" t="n">
        <x:v>159.7</x:v>
      </x:c>
      <x:c r="D195" s="9" t="n">
        <x:v>679</x:v>
      </x:c>
      <x:c r="E195" s="9" t="n">
        <x:v>384</x:v>
      </x:c>
      <x:c r="F195" s="9" t="n">
        <x:v>767</x:v>
      </x:c>
      <x:c r="G195" s="9" t="n">
        <x:v>374</x:v>
      </x:c>
      <x:c r="H195" s="9" t="n">
        <x:v>290</x:v>
      </x:c>
      <x:c r="I195" s="9" t="n">
        <x:v>187</x:v>
      </x:c>
    </x:row>
    <x:row r="196" ht="23" customHeight="1">
      <x:c r="A196" s="8" t="d">
        <x:v>2016-03-01T00:00:00.000Z</x:v>
      </x:c>
      <x:c r="B196" s="9" t="n">
        <x:v>3070</x:v>
      </x:c>
      <x:c r="C196" s="9" t="n">
        <x:v>159.1</x:v>
      </x:c>
      <x:c r="D196" s="9" t="n">
        <x:v>716</x:v>
      </x:c>
      <x:c r="E196" s="9" t="n">
        <x:v>384</x:v>
      </x:c>
      <x:c r="F196" s="9" t="n">
        <x:v>766</x:v>
      </x:c>
      <x:c r="G196" s="9" t="n">
        <x:v>381</x:v>
      </x:c>
      <x:c r="H196" s="9" t="n">
        <x:v>340</x:v>
      </x:c>
      <x:c r="I196" s="9" t="n">
        <x:v>191.1</x:v>
      </x:c>
    </x:row>
    <x:row r="197" ht="23" customHeight="1">
      <x:c r="A197" s="8" t="d">
        <x:v>2016-04-01T00:00:00.000Z</x:v>
      </x:c>
      <x:c r="B197" s="9" t="n">
        <x:v>3080</x:v>
      </x:c>
      <x:c r="C197" s="9" t="n">
        <x:v>164.4</x:v>
      </x:c>
      <x:c r="D197" s="9" t="n">
        <x:v>775</x:v>
      </x:c>
      <x:c r="E197" s="9" t="n">
        <x:v>395</x:v>
      </x:c>
      <x:c r="F197" s="9" t="n">
        <x:v>794</x:v>
      </x:c>
      <x:c r="G197" s="9" t="n">
        <x:v>395</x:v>
      </x:c>
      <x:c r="H197" s="9" t="n">
        <x:v>340</x:v>
      </x:c>
      <x:c r="I197" s="9" t="n">
        <x:v>187.4</x:v>
      </x:c>
    </x:row>
    <x:row r="198" ht="23" customHeight="1">
      <x:c r="A198" s="8" t="d">
        <x:v>2016-05-01T00:00:00.000Z</x:v>
      </x:c>
      <x:c r="B198" s="9" t="n">
        <x:v>3100</x:v>
      </x:c>
      <x:c r="C198" s="9" t="n">
        <x:v>169</x:v>
      </x:c>
      <x:c r="D198" s="9" t="n">
        <x:v>753</x:v>
      </x:c>
      <x:c r="E198" s="9" t="n">
        <x:v>433</x:v>
      </x:c>
      <x:c r="F198" s="9" t="n">
        <x:v>796</x:v>
      </x:c>
      <x:c r="G198" s="9" t="n">
        <x:v>423</x:v>
      </x:c>
      <x:c r="H198" s="9" t="n">
        <x:v>380</x:v>
      </x:c>
      <x:c r="I198" s="9" t="n">
        <x:v>172</x:v>
      </x:c>
    </x:row>
    <x:row r="199" ht="23" customHeight="1">
      <x:c r="A199" s="8" t="d">
        <x:v>2016-06-01T00:00:00.000Z</x:v>
      </x:c>
      <x:c r="B199" s="9" t="n">
        <x:v>3120</x:v>
      </x:c>
      <x:c r="C199" s="9" t="n">
        <x:v>179.9</x:v>
      </x:c>
      <x:c r="D199" s="9" t="n">
        <x:v>718</x:v>
      </x:c>
      <x:c r="E199" s="9" t="n">
        <x:v>441</x:v>
      </x:c>
      <x:c r="F199" s="9" t="n">
        <x:v>800</x:v>
      </x:c>
      <x:c r="G199" s="9" t="n">
        <x:v>457</x:v>
      </x:c>
      <x:c r="H199" s="9" t="n">
        <x:v>430</x:v>
      </x:c>
      <x:c r="I199" s="9" t="n">
        <x:v>173.1</x:v>
      </x:c>
    </x:row>
    <x:row r="200" ht="23" customHeight="1">
      <x:c r="A200" s="8" t="d">
        <x:v>2016-07-01T00:00:00.000Z</x:v>
      </x:c>
      <x:c r="B200" s="9" t="n">
        <x:v>3050</x:v>
      </x:c>
      <x:c r="C200" s="9" t="n">
        <x:v>161.8</x:v>
      </x:c>
      <x:c r="D200" s="9" t="n">
        <x:v>678</x:v>
      </x:c>
      <x:c r="E200" s="9" t="n">
        <x:v>442</x:v>
      </x:c>
      <x:c r="F200" s="9" t="n">
        <x:v>797</x:v>
      </x:c>
      <x:c r="G200" s="9" t="n">
        <x:v>431</x:v>
      </x:c>
      <x:c r="H200" s="9" t="n">
        <x:v>430</x:v>
      </x:c>
      <x:c r="I200" s="9" t="n">
        <x:v>151.8</x:v>
      </x:c>
    </x:row>
    <x:row r="201" ht="23" customHeight="1">
      <x:c r="A201" s="8" t="d">
        <x:v>2016-08-01T00:00:00.000Z</x:v>
      </x:c>
      <x:c r="B201" s="9" t="n">
        <x:v>3030</x:v>
      </x:c>
      <x:c r="C201" s="9" t="n">
        <x:v>150.2</x:v>
      </x:c>
      <x:c r="D201" s="9" t="n">
        <x:v>771</x:v>
      </x:c>
      <x:c r="E201" s="9" t="n">
        <x:v>415</x:v>
      </x:c>
      <x:c r="F201" s="9" t="n">
        <x:v>824</x:v>
      </x:c>
      <x:c r="G201" s="9" t="n">
        <x:v>412</x:v>
      </x:c>
      <x:c r="H201" s="9" t="n">
        <x:v>440</x:v>
      </x:c>
      <x:c r="I201" s="9" t="n">
        <x:v>149.2</x:v>
      </x:c>
    </x:row>
    <x:row r="202" ht="23" customHeight="1">
      <x:c r="A202" s="8" t="d">
        <x:v>2016-09-01T00:00:00.000Z</x:v>
      </x:c>
      <x:c r="B202" s="9" t="n">
        <x:v>2880</x:v>
      </x:c>
      <x:c r="C202" s="9" t="n">
        <x:v>148.4</x:v>
      </x:c>
      <x:c r="D202" s="9" t="n">
        <x:v>798</x:v>
      </x:c>
      <x:c r="E202" s="9" t="n">
        <x:v>384</x:v>
      </x:c>
      <x:c r="F202" s="9" t="n">
        <x:v>837</x:v>
      </x:c>
      <x:c r="G202" s="9" t="n">
        <x:v>404</x:v>
      </x:c>
      <x:c r="H202" s="9" t="n">
        <x:v>470</x:v>
      </x:c>
      <x:c r="I202" s="9" t="n">
        <x:v>150.6</x:v>
      </x:c>
    </x:row>
    <x:row r="203" ht="23" customHeight="1">
      <x:c r="A203" s="8" t="d">
        <x:v>2016-10-01T00:00:00.000Z</x:v>
      </x:c>
      <x:c r="B203" s="9" t="n">
        <x:v>2710</x:v>
      </x:c>
      <x:c r="C203" s="9" t="n">
        <x:v>152.3</x:v>
      </x:c>
      <x:c r="D203" s="9" t="n">
        <x:v>750</x:v>
      </x:c>
      <x:c r="E203" s="9" t="n">
        <x:v>369</x:v>
      </x:c>
      <x:c r="F203" s="9" t="n">
        <x:v>861</x:v>
      </x:c>
      <x:c r="G203" s="9" t="n">
        <x:v>402</x:v>
      </x:c>
      <x:c r="H203" s="9" t="n">
        <x:v>490</x:v>
      </x:c>
      <x:c r="I203" s="9" t="n">
        <x:v>151.8</x:v>
      </x:c>
    </x:row>
    <x:row r="204" ht="23" customHeight="1">
      <x:c r="A204" s="8" t="d">
        <x:v>2016-11-01T00:00:00.000Z</x:v>
      </x:c>
      <x:c r="B204" s="9" t="n">
        <x:v>2480</x:v>
      </x:c>
      <x:c r="C204" s="9" t="n">
        <x:v>151.8</x:v>
      </x:c>
      <x:c r="D204" s="9" t="n">
        <x:v>767</x:v>
      </x:c>
      <x:c r="E204" s="9" t="n">
        <x:v>365</x:v>
      </x:c>
      <x:c r="F204" s="9" t="n">
        <x:v>885</x:v>
      </x:c>
      <x:c r="G204" s="9" t="n">
        <x:v>398</x:v>
      </x:c>
      <x:c r="H204" s="9" t="n">
        <x:v>450</x:v>
      </x:c>
      <x:c r="I204" s="9" t="n">
        <x:v>150.6</x:v>
      </x:c>
    </x:row>
    <x:row r="205" ht="23" customHeight="1">
      <x:c r="A205" s="8" t="d">
        <x:v>2016-12-01T00:00:00.000Z</x:v>
      </x:c>
      <x:c r="B205" s="9" t="n">
        <x:v>2300</x:v>
      </x:c>
      <x:c r="C205" s="9" t="n">
        <x:v>152.4</x:v>
      </x:c>
      <x:c r="D205" s="9" t="n">
        <x:v>811</x:v>
      </x:c>
      <x:c r="E205" s="9" t="n">
        <x:v>373</x:v>
      </x:c>
      <x:c r="F205" s="9" t="n">
        <x:v>917</x:v>
      </x:c>
      <x:c r="G205" s="9" t="n">
        <x:v>416</x:v>
      </x:c>
      <x:c r="H205" s="9" t="n">
        <x:v>410</x:v>
      </x:c>
      <x:c r="I205" s="9" t="n">
        <x:v>141.8</x:v>
      </x:c>
    </x:row>
    <x:row r="206" ht="23" customHeight="1">
      <x:c r="A206" s="8" t="d">
        <x:v>2017-01-01T00:00:00.000Z</x:v>
      </x:c>
      <x:c r="B206" s="9" t="n">
        <x:v>2190</x:v>
      </x:c>
      <x:c r="C206" s="9" t="n">
        <x:v>160</x:v>
      </x:c>
      <x:c r="D206" s="9" t="n">
        <x:v>825</x:v>
      </x:c>
      <x:c r="E206" s="9" t="n">
        <x:v>377</x:v>
      </x:c>
      <x:c r="F206" s="9" t="n">
        <x:v>877</x:v>
      </x:c>
      <x:c r="G206" s="9" t="n">
        <x:v>412</x:v>
      </x:c>
      <x:c r="H206" s="9" t="n">
        <x:v>450</x:v>
      </x:c>
      <x:c r="I206" s="9" t="n">
        <x:v>153.2</x:v>
      </x:c>
    </x:row>
    <x:row r="207" ht="23" customHeight="1">
      <x:c r="A207" s="8" t="d">
        <x:v>2017-02-01T00:00:00.000Z</x:v>
      </x:c>
      <x:c r="B207" s="9" t="n">
        <x:v>2030</x:v>
      </x:c>
      <x:c r="C207" s="9" t="n">
        <x:v>162.9</x:v>
      </x:c>
      <x:c r="D207" s="9" t="n">
        <x:v>809</x:v>
      </x:c>
      <x:c r="E207" s="9" t="n">
        <x:v>367</x:v>
      </x:c>
      <x:c r="F207" s="9" t="n">
        <x:v>840</x:v>
      </x:c>
      <x:c r="G207" s="9" t="n">
        <x:v>395</x:v>
      </x:c>
      <x:c r="H207" s="9" t="n">
        <x:v>450</x:v>
      </x:c>
      <x:c r="I207" s="9" t="n">
        <x:v>155.1</x:v>
      </x:c>
    </x:row>
    <x:row r="208" ht="23" customHeight="1">
      <x:c r="A208" s="8" t="d">
        <x:v>2017-03-01T00:00:00.000Z</x:v>
      </x:c>
      <x:c r="B208" s="9" t="n">
        <x:v>2060</x:v>
      </x:c>
      <x:c r="C208" s="9" t="n">
        <x:v>159</x:v>
      </x:c>
      <x:c r="D208" s="9" t="n">
        <x:v>779</x:v>
      </x:c>
      <x:c r="E208" s="9" t="n">
        <x:v>370</x:v>
      </x:c>
      <x:c r="F208" s="9" t="n">
        <x:v>815</x:v>
      </x:c>
      <x:c r="G208" s="9" t="n">
        <x:v>384</x:v>
      </x:c>
      <x:c r="H208" s="9" t="n">
        <x:v>400</x:v>
      </x:c>
      <x:c r="I208" s="9" t="n">
        <x:v>154.3</x:v>
      </x:c>
    </x:row>
    <x:row r="209" ht="23" customHeight="1">
      <x:c r="A209" s="8" t="d">
        <x:v>2017-04-01T00:00:00.000Z</x:v>
      </x:c>
      <x:c r="B209" s="9" t="n">
        <x:v>1960</x:v>
      </x:c>
      <x:c r="C209" s="9" t="n">
        <x:v>156.4</x:v>
      </x:c>
      <x:c r="D209" s="9" t="n">
        <x:v>752</x:v>
      </x:c>
      <x:c r="E209" s="9" t="n">
        <x:v>380</x:v>
      </x:c>
      <x:c r="F209" s="9" t="n">
        <x:v>794</x:v>
      </x:c>
      <x:c r="G209" s="9" t="n">
        <x:v>387</x:v>
      </x:c>
      <x:c r="H209" s="9" t="n">
        <x:v>360</x:v>
      </x:c>
      <x:c r="I209" s="9" t="n">
        <x:v>166.1</x:v>
      </x:c>
    </x:row>
    <x:row r="210" ht="23" customHeight="1">
      <x:c r="A210" s="8" t="d">
        <x:v>2017-05-01T00:00:00.000Z</x:v>
      </x:c>
      <x:c r="B210" s="9" t="n">
        <x:v>1980</x:v>
      </x:c>
      <x:c r="C210" s="9" t="n">
        <x:v>158.6</x:v>
      </x:c>
      <x:c r="D210" s="9" t="n">
        <x:v>763</x:v>
      </x:c>
      <x:c r="E210" s="9" t="n">
        <x:v>421</x:v>
      </x:c>
      <x:c r="F210" s="9" t="n">
        <x:v>825</x:v>
      </x:c>
      <x:c r="G210" s="9" t="n">
        <x:v>390</x:v>
      </x:c>
      <x:c r="H210" s="9" t="n">
        <x:v>350</x:v>
      </x:c>
      <x:c r="I210" s="9" t="n">
        <x:v>180.4</x:v>
      </x:c>
    </x:row>
    <x:row r="211" ht="23" customHeight="1">
      <x:c r="A211" s="8" t="d">
        <x:v>2017-06-01T00:00:00.000Z</x:v>
      </x:c>
      <x:c r="B211" s="9" t="n">
        <x:v>2000</x:v>
      </x:c>
      <x:c r="C211" s="9" t="n">
        <x:v>157.9</x:v>
      </x:c>
      <x:c r="D211" s="9" t="n">
        <x:v>735</x:v>
      </x:c>
      <x:c r="E211" s="9" t="n">
        <x:v>458</x:v>
      </x:c>
      <x:c r="F211" s="9" t="n">
        <x:v>833</x:v>
      </x:c>
      <x:c r="G211" s="9" t="n">
        <x:v>379</x:v>
      </x:c>
      <x:c r="H211" s="9" t="n">
        <x:v>310</x:v>
      </x:c>
      <x:c r="I211" s="9" t="n">
        <x:v>189.6</x:v>
      </x:c>
    </x:row>
    <x:row r="212" ht="23" customHeight="1">
      <x:c r="A212" s="8" t="d">
        <x:v>2017-07-01T00:00:00.000Z</x:v>
      </x:c>
      <x:c r="B212" s="9" t="n">
        <x:v>1990</x:v>
      </x:c>
      <x:c r="C212" s="9" t="n">
        <x:v>157.5</x:v>
      </x:c>
      <x:c r="D212" s="9" t="n">
        <x:v>720</x:v>
      </x:c>
      <x:c r="E212" s="9" t="n">
        <x:v>417</x:v>
      </x:c>
      <x:c r="F212" s="9" t="n">
        <x:v>836</x:v>
      </x:c>
      <x:c r="G212" s="9" t="n">
        <x:v>410</x:v>
      </x:c>
      <x:c r="H212" s="9" t="n">
        <x:v>320</x:v>
      </x:c>
      <x:c r="I212" s="9" t="n">
        <x:v>202.5</x:v>
      </x:c>
    </x:row>
    <x:row r="213" ht="23" customHeight="1">
      <x:c r="A213" s="8" t="d">
        <x:v>2017-08-01T00:00:00.000Z</x:v>
      </x:c>
      <x:c r="B213" s="9" t="n">
        <x:v>1990</x:v>
      </x:c>
      <x:c r="C213" s="9" t="n">
        <x:v>148.5</x:v>
      </x:c>
      <x:c r="D213" s="9" t="n">
        <x:v>718</x:v>
      </x:c>
      <x:c r="E213" s="9" t="n">
        <x:v>393</x:v>
      </x:c>
      <x:c r="F213" s="9" t="n">
        <x:v>862</x:v>
      </x:c>
      <x:c r="G213" s="9" t="n">
        <x:v>393</x:v>
      </x:c>
      <x:c r="H213" s="9" t="n">
        <x:v>320</x:v>
      </x:c>
      <x:c r="I213" s="9" t="n">
        <x:v>171.2</x:v>
      </x:c>
    </x:row>
    <x:row r="214" ht="23" customHeight="1">
      <x:c r="A214" s="8" t="d">
        <x:v>2017-09-01T00:00:00.000Z</x:v>
      </x:c>
      <x:c r="B214" s="9" t="n">
        <x:v>2000</x:v>
      </x:c>
      <x:c r="C214" s="9" t="n">
        <x:v>147.3</x:v>
      </x:c>
      <x:c r="D214" s="9" t="n">
        <x:v>754</x:v>
      </x:c>
      <x:c r="E214" s="9" t="n">
        <x:v>402</x:v>
      </x:c>
      <x:c r="F214" s="9" t="n">
        <x:v>889</x:v>
      </x:c>
      <x:c r="G214" s="9" t="n">
        <x:v>394</x:v>
      </x:c>
      <x:c r="H214" s="9" t="n">
        <x:v>320</x:v>
      </x:c>
      <x:c r="I214" s="9" t="n">
        <x:v>178.6</x:v>
      </x:c>
    </x:row>
    <x:row r="215" ht="23" customHeight="1">
      <x:c r="A215" s="8" t="d">
        <x:v>2017-10-01T00:00:00.000Z</x:v>
      </x:c>
      <x:c r="B215" s="9" t="n">
        <x:v>2100</x:v>
      </x:c>
      <x:c r="C215" s="9" t="n">
        <x:v>148.6</x:v>
      </x:c>
      <x:c r="D215" s="9" t="n">
        <x:v>747</x:v>
      </x:c>
      <x:c r="E215" s="9" t="n">
        <x:v>394</x:v>
      </x:c>
      <x:c r="F215" s="9" t="n">
        <x:v>881</x:v>
      </x:c>
      <x:c r="G215" s="9" t="n">
        <x:v>397</x:v>
      </x:c>
      <x:c r="H215" s="9" t="n">
        <x:v>320</x:v>
      </x:c>
      <x:c r="I215" s="9" t="n">
        <x:v>175.6</x:v>
      </x:c>
    </x:row>
    <x:row r="216" ht="23" customHeight="1">
      <x:c r="A216" s="8" t="d">
        <x:v>2017-11-01T00:00:00.000Z</x:v>
      </x:c>
      <x:c r="B216" s="9" t="n">
        <x:v>2130</x:v>
      </x:c>
      <x:c r="C216" s="9" t="n">
        <x:v>148.7</x:v>
      </x:c>
      <x:c r="D216" s="9" t="n">
        <x:v>729</x:v>
      </x:c>
      <x:c r="E216" s="9" t="n">
        <x:v>402</x:v>
      </x:c>
      <x:c r="F216" s="9" t="n">
        <x:v>887</x:v>
      </x:c>
      <x:c r="G216" s="9" t="n">
        <x:v>394</x:v>
      </x:c>
      <x:c r="H216" s="9" t="n">
        <x:v>330</x:v>
      </x:c>
      <x:c r="I216" s="9" t="n">
        <x:v>179.7</x:v>
      </x:c>
    </x:row>
    <x:row r="217" ht="23" customHeight="1">
      <x:c r="A217" s="8" t="d">
        <x:v>2017-12-01T00:00:00.000Z</x:v>
      </x:c>
      <x:c r="B217" s="9" t="n">
        <x:v>1920</x:v>
      </x:c>
      <x:c r="C217" s="9" t="n">
        <x:v>149</x:v>
      </x:c>
      <x:c r="D217" s="9" t="n">
        <x:v>679</x:v>
      </x:c>
      <x:c r="E217" s="9" t="n">
        <x:v>406</x:v>
      </x:c>
      <x:c r="F217" s="9" t="n">
        <x:v>867</x:v>
      </x:c>
      <x:c r="G217" s="9" t="n">
        <x:v>387</x:v>
      </x:c>
      <x:c r="H217" s="9" t="n">
        <x:v>320</x:v>
      </x:c>
      <x:c r="I217" s="9" t="n">
        <x:v>184.1</x:v>
      </x:c>
    </x:row>
    <x:row r="218" ht="23" customHeight="1">
      <x:c r="A218" s="8" t="d">
        <x:v>2018-01-01T00:00:00.000Z</x:v>
      </x:c>
      <x:c r="B218" s="9" t="n">
        <x:v>1950</x:v>
      </x:c>
      <x:c r="C218" s="9" t="n">
        <x:v>155.8</x:v>
      </x:c>
      <x:c r="D218" s="9" t="n">
        <x:v>703</x:v>
      </x:c>
      <x:c r="E218" s="9" t="n">
        <x:v>442</x:v>
      </x:c>
      <x:c r="F218" s="9" t="n">
        <x:v>871</x:v>
      </x:c>
      <x:c r="G218" s="9" t="n">
        <x:v>390</x:v>
      </x:c>
      <x:c r="H218" s="9" t="n">
        <x:v>310</x:v>
      </x:c>
      <x:c r="I218" s="9" t="n">
        <x:v>192.2</x:v>
      </x:c>
    </x:row>
    <x:row r="219" ht="23" customHeight="1">
      <x:c r="A219" s="8" t="d">
        <x:v>2018-02-01T00:00:00.000Z</x:v>
      </x:c>
      <x:c r="B219" s="9" t="n">
        <x:v>2120</x:v>
      </x:c>
      <x:c r="C219" s="9" t="n">
        <x:v>163.4</x:v>
      </x:c>
      <x:c r="D219" s="9" t="n">
        <x:v>709</x:v>
      </x:c>
      <x:c r="E219" s="9" t="n">
        <x:v>425</x:v>
      </x:c>
      <x:c r="F219" s="9" t="n">
        <x:v>844</x:v>
      </x:c>
      <x:c r="G219" s="9" t="n">
        <x:v>416</x:v>
      </x:c>
      <x:c r="H219" s="9" t="n">
        <x:v>300</x:v>
      </x:c>
      <x:c r="I219" s="9" t="n">
        <x:v>192.2</x:v>
      </x:c>
    </x:row>
    <x:row r="220" ht="23" customHeight="1">
      <x:c r="A220" s="8" t="d">
        <x:v>2018-03-01T00:00:00.000Z</x:v>
      </x:c>
      <x:c r="B220" s="9" t="n">
        <x:v>2500</x:v>
      </x:c>
      <x:c r="C220" s="9" t="n">
        <x:v>172</x:v>
      </x:c>
      <x:c r="D220" s="9" t="n">
        <x:v>706</x:v>
      </x:c>
      <x:c r="E220" s="9" t="n">
        <x:v>430</x:v>
      </x:c>
      <x:c r="F220" s="9" t="n">
        <x:v>837</x:v>
      </x:c>
      <x:c r="G220" s="9" t="n">
        <x:v>430</x:v>
      </x:c>
      <x:c r="H220" s="9" t="n">
        <x:v>280</x:v>
      </x:c>
      <x:c r="I220" s="9" t="n">
        <x:v>192.2</x:v>
      </x:c>
    </x:row>
    <x:row r="221" ht="23" customHeight="1">
      <x:c r="A221" s="8" t="d">
        <x:v>2018-04-01T00:00:00.000Z</x:v>
      </x:c>
      <x:c r="B221" s="9" t="n">
        <x:v>2620</x:v>
      </x:c>
      <x:c r="C221" s="9" t="n">
        <x:v>175.6</x:v>
      </x:c>
      <x:c r="D221" s="9" t="n">
        <x:v>701</x:v>
      </x:c>
      <x:c r="E221" s="9" t="n">
        <x:v>451</x:v>
      </x:c>
      <x:c r="F221" s="9" t="n">
        <x:v>832</x:v>
      </x:c>
      <x:c r="G221" s="9" t="n">
        <x:v>439</x:v>
      </x:c>
      <x:c r="H221" s="9" t="n">
        <x:v>270</x:v>
      </x:c>
      <x:c r="I221" s="9" t="n">
        <x:v>213.8</x:v>
      </x:c>
    </x:row>
    <x:row r="222" ht="23" customHeight="1">
      <x:c r="A222" s="8" t="d">
        <x:v>2018-05-01T00:00:00.000Z</x:v>
      </x:c>
      <x:c r="B222" s="9" t="n">
        <x:v>2660</x:v>
      </x:c>
      <x:c r="C222" s="9" t="n">
        <x:v>179.1</x:v>
      </x:c>
      <x:c r="D222" s="9" t="n">
        <x:v>687</x:v>
      </x:c>
      <x:c r="E222" s="9" t="n">
        <x:v>451</x:v>
      </x:c>
      <x:c r="F222" s="9" t="n">
        <x:v>793</x:v>
      </x:c>
      <x:c r="G222" s="9" t="n">
        <x:v>430</x:v>
      </x:c>
      <x:c r="H222" s="9" t="n">
        <x:v>270</x:v>
      </x:c>
      <x:c r="I222" s="9" t="n">
        <x:v>213.8</x:v>
      </x:c>
    </x:row>
    <x:row r="223" ht="23" customHeight="1">
      <x:c r="A223" s="8" t="d">
        <x:v>2018-06-01T00:00:00.000Z</x:v>
      </x:c>
      <x:c r="B223" s="9" t="n">
        <x:v>2410</x:v>
      </x:c>
      <x:c r="C223" s="9" t="n">
        <x:v>165.1</x:v>
      </x:c>
      <x:c r="D223" s="9" t="n">
        <x:v>657</x:v>
      </x:c>
      <x:c r="E223" s="9" t="n">
        <x:v>427</x:v>
      </x:c>
      <x:c r="F223" s="9" t="n">
        <x:v>789</x:v>
      </x:c>
      <x:c r="G223" s="9" t="n">
        <x:v>394</x:v>
      </x:c>
      <x:c r="H223" s="9" t="n">
        <x:v>280</x:v>
      </x:c>
      <x:c r="I223" s="9" t="n">
        <x:v>219.4</x:v>
      </x:c>
    </x:row>
    <x:row r="224" ht="23" customHeight="1">
      <x:c r="A224" s="8" t="d">
        <x:v>2018-07-01T00:00:00.000Z</x:v>
      </x:c>
      <x:c r="B224" s="9" t="n">
        <x:v>2360</x:v>
      </x:c>
      <x:c r="C224" s="9" t="n">
        <x:v>156.5</x:v>
      </x:c>
      <x:c r="D224" s="9" t="n">
        <x:v>616</x:v>
      </x:c>
      <x:c r="E224" s="9" t="n">
        <x:v>398</x:v>
      </x:c>
      <x:c r="F224" s="9" t="n">
        <x:v>780</x:v>
      </x:c>
      <x:c r="G224" s="9" t="n">
        <x:v>377</x:v>
      </x:c>
      <x:c r="H224" s="9" t="n">
        <x:v>260</x:v>
      </x:c>
      <x:c r="I224" s="9" t="n">
        <x:v>218.3</x:v>
      </x:c>
    </x:row>
    <x:row r="225" ht="23" customHeight="1">
      <x:c r="A225" s="8" t="d">
        <x:v>2018-08-01T00:00:00.000Z</x:v>
      </x:c>
      <x:c r="B225" s="9" t="n">
        <x:v>2170</x:v>
      </x:c>
      <x:c r="C225" s="9" t="n">
        <x:v>162.4</x:v>
      </x:c>
      <x:c r="D225" s="9" t="n">
        <x:v>615</x:v>
      </x:c>
      <x:c r="E225" s="9" t="n">
        <x:v>405</x:v>
      </x:c>
      <x:c r="F225" s="9" t="n">
        <x:v>762</x:v>
      </x:c>
      <x:c r="G225" s="9" t="n">
        <x:v>377</x:v>
      </x:c>
      <x:c r="H225" s="9" t="n">
        <x:v>240</x:v>
      </x:c>
      <x:c r="I225" s="9" t="n">
        <x:v>236.6</x:v>
      </x:c>
    </x:row>
    <x:row r="226" ht="23" customHeight="1">
      <x:c r="A226" s="8" t="d">
        <x:v>2018-09-01T00:00:00.000Z</x:v>
      </x:c>
      <x:c r="B226" s="9" t="n">
        <x:v>2190</x:v>
      </x:c>
      <x:c r="C226" s="9" t="n">
        <x:v>154.8</x:v>
      </x:c>
      <x:c r="D226" s="9" t="n">
        <x:v>605</x:v>
      </x:c>
      <x:c r="E226" s="9" t="n">
        <x:v>405</x:v>
      </x:c>
      <x:c r="F226" s="9" t="n">
        <x:v>754</x:v>
      </x:c>
      <x:c r="G226" s="9" t="n">
        <x:v>357</x:v>
      </x:c>
      <x:c r="H226" s="9" t="n">
        <x:v>250</x:v>
      </x:c>
      <x:c r="I226" s="9" t="n">
        <x:v>212.4</x:v>
      </x:c>
    </x:row>
    <x:row r="227" ht="23" customHeight="1">
      <x:c r="A227" s="8" t="d">
        <x:v>2018-10-01T00:00:00.000Z</x:v>
      </x:c>
      <x:c r="B227" s="9" t="n">
        <x:v>2130</x:v>
      </x:c>
      <x:c r="C227" s="9" t="n">
        <x:v>160.3</x:v>
      </x:c>
      <x:c r="D227" s="9" t="n">
        <x:v>590</x:v>
      </x:c>
      <x:c r="E227" s="9" t="n">
        <x:v>409</x:v>
      </x:c>
      <x:c r="F227" s="9" t="n">
        <x:v>752</x:v>
      </x:c>
      <x:c r="G227" s="9" t="n">
        <x:v>368</x:v>
      </x:c>
      <x:c r="H227" s="9" t="n">
        <x:v>290</x:v>
      </x:c>
      <x:c r="I227" s="9" t="n">
        <x:v>213.5</x:v>
      </x:c>
    </x:row>
    <x:row r="228" ht="23" customHeight="1">
      <x:c r="A228" s="8" t="d">
        <x:v>2018-11-01T00:00:00.000Z</x:v>
      </x:c>
      <x:c r="B228" s="9" t="n">
        <x:v>2190</x:v>
      </x:c>
      <x:c r="C228" s="9" t="n">
        <x:v>160.7</x:v>
      </x:c>
      <x:c r="D228" s="9" t="n">
        <x:v>539</x:v>
      </x:c>
      <x:c r="E228" s="9" t="n">
        <x:v>401</x:v>
      </x:c>
      <x:c r="F228" s="9" t="n">
        <x:v>729</x:v>
      </x:c>
      <x:c r="G228" s="9" t="n">
        <x:v>374</x:v>
      </x:c>
      <x:c r="H228" s="9" t="n">
        <x:v>280</x:v>
      </x:c>
      <x:c r="I228" s="9" t="n">
        <x:v>203.6</x:v>
      </x:c>
    </x:row>
    <x:row r="229" ht="23" customHeight="1">
      <x:c r="A229" s="8" t="d">
        <x:v>2018-12-01T00:00:00.000Z</x:v>
      </x:c>
      <x:c r="B229" s="9" t="n">
        <x:v>2210</x:v>
      </x:c>
      <x:c r="C229" s="9" t="n">
        <x:v>167.4</x:v>
      </x:c>
      <x:c r="D229" s="9" t="n">
        <x:v>535</x:v>
      </x:c>
      <x:c r="E229" s="9" t="n">
        <x:v>404</x:v>
      </x:c>
      <x:c r="F229" s="9" t="n">
        <x:v>728</x:v>
      </x:c>
      <x:c r="G229" s="9" t="n">
        <x:v>381</x:v>
      </x:c>
      <x:c r="H229" s="9" t="n">
        <x:v>280</x:v>
      </x:c>
      <x:c r="I229" s="9" t="n">
        <x:v>211.3</x:v>
      </x:c>
    </x:row>
    <x:row r="230" ht="23" customHeight="1">
      <x:c r="A230" s="8" t="d">
        <x:v>2019-01-01T00:00:00.000Z</x:v>
      </x:c>
      <x:c r="B230" s="9" t="n">
        <x:v>2260</x:v>
      </x:c>
      <x:c r="C230" s="9" t="n">
        <x:v>166.7</x:v>
      </x:c>
      <x:c r="D230" s="9" t="n">
        <x:v>585</x:v>
      </x:c>
      <x:c r="E230" s="9" t="n">
        <x:v>410</x:v>
      </x:c>
      <x:c r="F230" s="9" t="n">
        <x:v>748</x:v>
      </x:c>
      <x:c r="G230" s="9" t="n">
        <x:v>382</x:v>
      </x:c>
      <x:c r="H230" s="9" t="n">
        <x:v>280</x:v>
      </x:c>
      <x:c r="I230" s="9" t="n">
        <x:v>209.8</x:v>
      </x:c>
    </x:row>
    <x:row r="231" ht="23" customHeight="1">
      <x:c r="A231" s="8" t="d">
        <x:v>2019-02-01T00:00:00.000Z</x:v>
      </x:c>
      <x:c r="B231" s="9" t="n">
        <x:v>2260</x:v>
      </x:c>
      <x:c r="C231" s="9" t="n">
        <x:v>169.5</x:v>
      </x:c>
      <x:c r="D231" s="9" t="n">
        <x:v>603</x:v>
      </x:c>
      <x:c r="E231" s="9" t="n">
        <x:v>408</x:v>
      </x:c>
      <x:c r="F231" s="9" t="n">
        <x:v>773</x:v>
      </x:c>
      <x:c r="G231" s="9" t="n">
        <x:v>380</x:v>
      </x:c>
      <x:c r="H231" s="9" t="n">
        <x:v>290</x:v>
      </x:c>
      <x:c r="I231" s="9" t="n">
        <x:v>219</x:v>
      </x:c>
    </x:row>
    <x:row r="232" ht="23" customHeight="1">
      <x:c r="A232" s="8" t="d">
        <x:v>2019-03-01T00:00:00.000Z</x:v>
      </x:c>
      <x:c r="B232" s="9" t="n">
        <x:v>2200</x:v>
      </x:c>
      <x:c r="C232" s="9" t="n">
        <x:v>166.2</x:v>
      </x:c>
      <x:c r="D232" s="9" t="n">
        <x:v>573</x:v>
      </x:c>
      <x:c r="E232" s="9" t="n">
        <x:v>406</x:v>
      </x:c>
      <x:c r="F232" s="9" t="n">
        <x:v>750</x:v>
      </x:c>
      <x:c r="G232" s="9" t="n">
        <x:v>370</x:v>
      </x:c>
      <x:c r="H232" s="9" t="n">
        <x:v>280</x:v>
      </x:c>
      <x:c r="I232" s="9" t="n">
        <x:v>205.8</x:v>
      </x:c>
    </x:row>
    <x:row r="233" ht="23" customHeight="1">
      <x:c r="A233" s="8" t="d">
        <x:v>2019-04-01T00:00:00.000Z</x:v>
      </x:c>
      <x:c r="B233" s="9" t="n">
        <x:v>2330</x:v>
      </x:c>
      <x:c r="C233" s="9" t="n">
        <x:v>161.5</x:v>
      </x:c>
      <x:c r="D233" s="9" t="n">
        <x:v>588</x:v>
      </x:c>
      <x:c r="E233" s="9" t="n">
        <x:v>413</x:v>
      </x:c>
      <x:c r="F233" s="9" t="n">
        <x:v>734</x:v>
      </x:c>
      <x:c r="G233" s="9" t="n">
        <x:v>360</x:v>
      </x:c>
      <x:c r="H233" s="9" t="n">
        <x:v>280</x:v>
      </x:c>
      <x:c r="I233" s="9" t="n">
        <x:v>199.5</x:v>
      </x:c>
    </x:row>
    <x:row r="234" ht="23" customHeight="1">
      <x:c r="A234" s="8" t="d">
        <x:v>2019-05-01T00:00:00.000Z</x:v>
      </x:c>
      <x:c r="B234" s="9" t="n">
        <x:v>2320</x:v>
      </x:c>
      <x:c r="C234" s="9" t="n">
        <x:v>171.1</x:v>
      </x:c>
      <x:c r="D234" s="9" t="n">
        <x:v>564</x:v>
      </x:c>
      <x:c r="E234" s="9" t="n">
        <x:v>409</x:v>
      </x:c>
      <x:c r="F234" s="9" t="n">
        <x:v>743</x:v>
      </x:c>
      <x:c r="G234" s="9" t="n">
        <x:v>340</x:v>
      </x:c>
      <x:c r="H234" s="9" t="n">
        <x:v>270</x:v>
      </x:c>
      <x:c r="I234" s="9" t="n">
        <x:v>199.5</x:v>
      </x:c>
    </x:row>
    <x:row r="235" ht="23" customHeight="1">
      <x:c r="A235" s="8" t="d">
        <x:v>2019-06-01T00:00:00.000Z</x:v>
      </x:c>
      <x:c r="B235" s="9" t="n">
        <x:v>2410</x:v>
      </x:c>
      <x:c r="C235" s="9" t="n">
        <x:v>195.1</x:v>
      </x:c>
      <x:c r="D235" s="9" t="n">
        <x:v>552</x:v>
      </x:c>
      <x:c r="E235" s="9" t="n">
        <x:v>420</x:v>
      </x:c>
      <x:c r="F235" s="9" t="n">
        <x:v>743</x:v>
      </x:c>
      <x:c r="G235" s="9" t="n">
        <x:v>359</x:v>
      </x:c>
      <x:c r="H235" s="9" t="n">
        <x:v>280</x:v>
      </x:c>
      <x:c r="I235" s="9" t="n">
        <x:v>206.1</x:v>
      </x:c>
    </x:row>
    <x:row r="236" ht="23" customHeight="1">
      <x:c r="A236" s="8" t="d">
        <x:v>2019-07-01T00:00:00.000Z</x:v>
      </x:c>
      <x:c r="B236" s="9" t="n">
        <x:v>2420</x:v>
      </x:c>
      <x:c r="C236" s="9" t="n">
        <x:v>189.4</x:v>
      </x:c>
      <x:c r="D236" s="9" t="n">
        <x:v>544</x:v>
      </x:c>
      <x:c r="E236" s="9" t="n">
        <x:v>416</x:v>
      </x:c>
      <x:c r="F236" s="9" t="n">
        <x:v>748</x:v>
      </x:c>
      <x:c r="G236" s="9" t="n">
        <x:v>370</x:v>
      </x:c>
      <x:c r="H236" s="9" t="n">
        <x:v>280</x:v>
      </x:c>
      <x:c r="I236" s="9" t="n">
        <x:v>196.2</x:v>
      </x:c>
    </x:row>
    <x:row r="237" ht="23" customHeight="1">
      <x:c r="A237" s="8" t="d">
        <x:v>2019-08-01T00:00:00.000Z</x:v>
      </x:c>
      <x:c r="B237" s="9" t="n">
        <x:v>2190</x:v>
      </x:c>
      <x:c r="C237" s="9" t="n">
        <x:v>163.6</x:v>
      </x:c>
      <x:c r="D237" s="9" t="n">
        <x:v>586</x:v>
      </x:c>
      <x:c r="E237" s="9" t="n">
        <x:v>430</x:v>
      </x:c>
      <x:c r="F237" s="9" t="n">
        <x:v>793</x:v>
      </x:c>
      <x:c r="G237" s="9" t="n">
        <x:v>361</x:v>
      </x:c>
      <x:c r="H237" s="9" t="n">
        <x:v>270</x:v>
      </x:c>
      <x:c r="I237" s="9" t="n">
        <x:v>181.1</x:v>
      </x:c>
    </x:row>
    <x:row r="238" ht="23" customHeight="1">
      <x:c r="A238" s="8" t="d">
        <x:v>2019-09-01T00:00:00.000Z</x:v>
      </x:c>
      <x:c r="B238" s="9" t="n">
        <x:v>2310</x:v>
      </x:c>
      <x:c r="C238" s="9" t="n">
        <x:v>157.3</x:v>
      </x:c>
      <x:c r="D238" s="9" t="n">
        <x:v>580</x:v>
      </x:c>
      <x:c r="E238" s="9" t="n">
        <x:v>427</x:v>
      </x:c>
      <x:c r="F238" s="9" t="n">
        <x:v>779</x:v>
      </x:c>
      <x:c r="G238" s="9" t="n">
        <x:v>366</x:v>
      </x:c>
      <x:c r="H238" s="9" t="n">
        <x:v>260</x:v>
      </x:c>
      <x:c r="I238" s="9" t="n">
        <x:v>189.6</x:v>
      </x:c>
    </x:row>
    <x:row r="239" ht="23" customHeight="1">
      <x:c r="A239" s="8" t="d">
        <x:v>2019-10-01T00:00:00.000Z</x:v>
      </x:c>
      <x:c r="B239" s="9" t="n">
        <x:v>2440</x:v>
      </x:c>
      <x:c r="C239" s="9" t="n">
        <x:v>167.1</x:v>
      </x:c>
      <x:c r="D239" s="9" t="n">
        <x:v>591</x:v>
      </x:c>
      <x:c r="E239" s="9" t="n">
        <x:v>424</x:v>
      </x:c>
      <x:c r="F239" s="9" t="n">
        <x:v>771</x:v>
      </x:c>
      <x:c r="G239" s="9" t="n">
        <x:v>382</x:v>
      </x:c>
      <x:c r="H239" s="9" t="n">
        <x:v>280</x:v>
      </x:c>
      <x:c r="I239" s="9" t="n">
        <x:v>199.5</x:v>
      </x:c>
    </x:row>
    <x:row r="240" ht="23" customHeight="1">
      <x:c r="A240" s="8" t="d">
        <x:v>2019-11-01T00:00:00.000Z</x:v>
      </x:c>
      <x:c r="B240" s="9" t="n">
        <x:v>2520</x:v>
      </x:c>
      <x:c r="C240" s="9" t="n">
        <x:v>166.3</x:v>
      </x:c>
      <x:c r="D240" s="9" t="n">
        <x:v>685</x:v>
      </x:c>
      <x:c r="E240" s="9" t="n">
        <x:v>421</x:v>
      </x:c>
      <x:c r="F240" s="9" t="n">
        <x:v>770</x:v>
      </x:c>
      <x:c r="G240" s="9" t="n">
        <x:v>376</x:v>
      </x:c>
      <x:c r="H240" s="9" t="n">
        <x:v>280</x:v>
      </x:c>
      <x:c r="I240" s="9" t="n">
        <x:v>203.2</x:v>
      </x:c>
    </x:row>
    <x:row r="241" ht="23" customHeight="1">
      <x:c r="A241" s="8" t="d">
        <x:v>2019-12-01T00:00:00.000Z</x:v>
      </x:c>
      <x:c r="B241" s="9" t="n">
        <x:v>2440</x:v>
      </x:c>
      <x:c r="C241" s="9" t="n">
        <x:v>167</x:v>
      </x:c>
      <x:c r="D241" s="9" t="n">
        <x:v>764</x:v>
      </x:c>
      <x:c r="E241" s="9" t="n">
        <x:v>432</x:v>
      </x:c>
      <x:c r="F241" s="9" t="n">
        <x:v>834</x:v>
      </x:c>
      <x:c r="G241" s="9" t="n">
        <x:v>383</x:v>
      </x:c>
      <x:c r="H241" s="9" t="n">
        <x:v>300</x:v>
      </x:c>
      <x:c r="I241" s="9" t="n">
        <x:v>210.9</x:v>
      </x:c>
    </x:row>
    <x:row r="242" ht="23" customHeight="1">
      <x:c r="A242" s="8" t="d">
        <x:v>2020-01-01T00:00:00.000Z</x:v>
      </x:c>
      <x:c r="B242" s="9" t="n">
        <x:v>2600</x:v>
      </x:c>
      <x:c r="C242" s="9" t="n">
        <x:v>171.8</x:v>
      </x:c>
      <x:c r="D242" s="9" t="n">
        <x:v>810</x:v>
      </x:c>
      <x:c r="E242" s="9" t="n">
        <x:v>451</x:v>
      </x:c>
      <x:c r="F242" s="9" t="n">
        <x:v>876</x:v>
      </x:c>
      <x:c r="G242" s="9" t="n">
        <x:v>387</x:v>
      </x:c>
      <x:c r="H242" s="9" t="n">
        <x:v>310</x:v>
      </x:c>
      <x:c r="I242" s="9" t="n">
        <x:v>224.5</x:v>
      </x:c>
    </x:row>
    <x:row r="243" ht="23" customHeight="1">
      <x:c r="A243" s="8" t="d">
        <x:v>2020-02-01T00:00:00.000Z</x:v>
      </x:c>
      <x:c r="B243" s="9" t="n">
        <x:v>2720</x:v>
      </x:c>
      <x:c r="C243" s="9" t="n">
        <x:v>168.7</x:v>
      </x:c>
      <x:c r="D243" s="9" t="n">
        <x:v>729</x:v>
      </x:c>
      <x:c r="E243" s="9" t="n">
        <x:v>450</x:v>
      </x:c>
      <x:c r="F243" s="9" t="n">
        <x:v>800</x:v>
      </x:c>
      <x:c r="G243" s="9" t="n">
        <x:v>376</x:v>
      </x:c>
      <x:c r="H243" s="9" t="n">
        <x:v>330</x:v>
      </x:c>
      <x:c r="I243" s="9" t="n">
        <x:v>215.3</x:v>
      </x:c>
    </x:row>
    <x:row r="244" ht="23" customHeight="1">
      <x:c r="A244" s="8" t="d">
        <x:v>2020-03-01T00:00:00.000Z</x:v>
      </x:c>
      <x:c r="B244" s="9" t="n">
        <x:v>2340</x:v>
      </x:c>
      <x:c r="C244" s="9" t="n">
        <x:v>162.4</x:v>
      </x:c>
      <x:c r="D244" s="9" t="n">
        <x:v>636</x:v>
      </x:c>
      <x:c r="E244" s="9" t="n">
        <x:v>494</x:v>
      </x:c>
      <x:c r="F244" s="9" t="n">
        <x:v>748</x:v>
      </x:c>
      <x:c r="G244" s="9" t="n">
        <x:v>373</x:v>
      </x:c>
      <x:c r="H244" s="9" t="n">
        <x:v>260</x:v>
      </x:c>
      <x:c r="I244" s="9" t="n">
        <x:v>209.1</x:v>
      </x:c>
    </x:row>
    <x:row r="245" ht="23" customHeight="1">
      <x:c r="A245" s="8" t="d">
        <x:v>2020-04-01T00:00:00.000Z</x:v>
      </x:c>
      <x:c r="B245" s="9" t="n">
        <x:v>2270</x:v>
      </x:c>
      <x:c r="C245" s="9" t="n">
        <x:v>146.9</x:v>
      </x:c>
      <x:c r="D245" s="9" t="n">
        <x:v>609</x:v>
      </x:c>
      <x:c r="E245" s="9" t="n">
        <x:v>564</x:v>
      </x:c>
      <x:c r="F245" s="9" t="n">
        <x:v>680</x:v>
      </x:c>
      <x:c r="G245" s="9" t="n">
        <x:v>361</x:v>
      </x:c>
      <x:c r="H245" s="9" t="n">
        <x:v>230</x:v>
      </x:c>
      <x:c r="I245" s="9" t="n">
        <x:v>219</x:v>
      </x:c>
    </x:row>
    <x:row r="246" ht="23" customHeight="1">
      <x:c r="A246" s="8" t="d">
        <x:v>2020-05-01T00:00:00.000Z</x:v>
      </x:c>
      <x:c r="B246" s="9" t="n">
        <x:v>2320</x:v>
      </x:c>
      <x:c r="C246" s="9" t="n">
        <x:v>143.9</x:v>
      </x:c>
      <x:c r="D246" s="9" t="n">
        <x:v>577</x:v>
      </x:c>
      <x:c r="E246" s="9" t="n">
        <x:v>510</x:v>
      </x:c>
      <x:c r="F246" s="9" t="n">
        <x:v>685</x:v>
      </x:c>
      <x:c r="G246" s="9" t="n">
        <x:v>359</x:v>
      </x:c>
      <x:c r="H246" s="9" t="n">
        <x:v>240</x:v>
      </x:c>
      <x:c r="I246" s="9" t="n">
        <x:v>205.8</x:v>
      </x:c>
    </x:row>
    <x:row r="247" ht="23" customHeight="1">
      <x:c r="A247" s="8" t="d">
        <x:v>2020-06-01T00:00:00.000Z</x:v>
      </x:c>
      <x:c r="B247" s="9" t="n">
        <x:v>2230</x:v>
      </x:c>
      <x:c r="C247" s="9" t="n">
        <x:v>148</x:v>
      </x:c>
      <x:c r="D247" s="9" t="n">
        <x:v>656</x:v>
      </x:c>
      <x:c r="E247" s="9" t="n">
        <x:v>520</x:v>
      </x:c>
      <x:c r="F247" s="9" t="n">
        <x:v>756</x:v>
      </x:c>
      <x:c r="G247" s="9" t="n">
        <x:v>370</x:v>
      </x:c>
      <x:c r="H247" s="9" t="n">
        <x:v>270</x:v>
      </x:c>
      <x:c r="I247" s="9" t="n">
        <x:v>198.4</x:v>
      </x:c>
    </x:row>
    <x:row r="248" ht="23" customHeight="1">
      <x:c r="A248" s="8" t="d">
        <x:v>2020-07-01T00:00:00.000Z</x:v>
      </x:c>
      <x:c r="B248" s="9" t="n">
        <x:v>2100</x:v>
      </x:c>
      <x:c r="C248" s="9" t="n">
        <x:v>152.6</x:v>
      </x:c>
      <x:c r="D248" s="9" t="n">
        <x:v>694</x:v>
      </x:c>
      <x:c r="E248" s="9" t="n">
        <x:v>480</x:v>
      </x:c>
      <x:c r="F248" s="9" t="n">
        <x:v>821</x:v>
      </x:c>
      <x:c r="G248" s="9" t="n">
        <x:v>381</x:v>
      </x:c>
      <x:c r="H248" s="9" t="n">
        <x:v>270</x:v>
      </x:c>
      <x:c r="I248" s="9" t="n">
        <x:v>222.1</x:v>
      </x:c>
    </x:row>
    <x:row r="249" ht="23" customHeight="1">
      <x:c r="A249" s="8" t="d">
        <x:v>2020-08-01T00:00:00.000Z</x:v>
      </x:c>
      <x:c r="B249" s="9" t="n">
        <x:v>2350</x:v>
      </x:c>
      <x:c r="C249" s="9" t="n">
        <x:v>149.3</x:v>
      </x:c>
      <x:c r="D249" s="9" t="n">
        <x:v>760</x:v>
      </x:c>
      <x:c r="E249" s="9" t="n">
        <x:v>505</x:v>
      </x:c>
      <x:c r="F249" s="9" t="n">
        <x:v>867</x:v>
      </x:c>
      <x:c r="G249" s="9" t="n">
        <x:v>385</x:v>
      </x:c>
      <x:c r="H249" s="9" t="n">
        <x:v>290</x:v>
      </x:c>
      <x:c r="I249" s="9" t="n">
        <x:v>223</x:v>
      </x:c>
    </x:row>
    <x:row r="250" ht="23" customHeight="1">
      <x:c r="A250" s="8" t="d">
        <x:v>2020-09-01T00:00:00.000Z</x:v>
      </x:c>
      <x:c r="B250" s="9" t="n">
        <x:v>2460</x:v>
      </x:c>
      <x:c r="C250" s="9" t="n">
        <x:v>166.1</x:v>
      </x:c>
      <x:c r="D250" s="9" t="n">
        <x:v>796</x:v>
      </x:c>
      <x:c r="E250" s="9" t="n">
        <x:v>507</x:v>
      </x:c>
      <x:c r="F250" s="9" t="n">
        <x:v>906</x:v>
      </x:c>
      <x:c r="G250" s="9" t="n">
        <x:v>423</x:v>
      </x:c>
      <x:c r="H250" s="9" t="n">
        <x:v>280</x:v>
      </x:c>
      <x:c r="I250" s="9" t="n">
        <x:v>247.7</x:v>
      </x:c>
    </x:row>
    <x:row r="251" ht="23" customHeight="1">
      <x:c r="A251" s="8" t="d">
        <x:v>2020-10-01T00:00:00.000Z</x:v>
      </x:c>
      <x:c r="B251" s="9" t="n">
        <x:v>2290</x:v>
      </x:c>
      <x:c r="C251" s="9" t="n">
        <x:v>186.7</x:v>
      </x:c>
      <x:c r="D251" s="9" t="n">
        <x:v>819</x:v>
      </x:c>
      <x:c r="E251" s="9" t="n">
        <x:v>471</x:v>
      </x:c>
      <x:c r="F251" s="9" t="n">
        <x:v>915</x:v>
      </x:c>
      <x:c r="G251" s="9" t="n">
        <x:v>454</x:v>
      </x:c>
      <x:c r="H251" s="9" t="n">
        <x:v>300</x:v>
      </x:c>
      <x:c r="I251" s="9" t="n">
        <x:v>272.4</x:v>
      </x:c>
    </x:row>
    <x:row r="252" ht="23" customHeight="1">
      <x:c r="A252" s="8" t="d">
        <x:v>2020-11-01T00:00:00.000Z</x:v>
      </x:c>
      <x:c r="B252" s="9" t="n">
        <x:v>2360</x:v>
      </x:c>
      <x:c r="C252" s="9" t="n">
        <x:v>190.4</x:v>
      </x:c>
      <x:c r="D252" s="9" t="n">
        <x:v>918</x:v>
      </x:c>
      <x:c r="E252" s="9" t="n">
        <x:v>489</x:v>
      </x:c>
      <x:c r="F252" s="9" t="n">
        <x:v>974</x:v>
      </x:c>
      <x:c r="G252" s="9" t="n">
        <x:v>500</x:v>
      </x:c>
      <x:c r="H252" s="9" t="n">
        <x:v>310</x:v>
      </x:c>
      <x:c r="I252" s="9" t="n">
        <x:v>273</x:v>
      </x:c>
    </x:row>
    <x:row r="253" ht="23" customHeight="1">
      <x:c r="A253" s="8" t="d">
        <x:v>2020-12-01T00:00:00.000Z</x:v>
      </x:c>
      <x:c r="B253" s="9" t="n">
        <x:v>2410</x:v>
      </x:c>
      <x:c r="C253" s="9" t="n">
        <x:v>198.8</x:v>
      </x:c>
      <x:c r="D253" s="9" t="n">
        <x:v>1016</x:v>
      </x:c>
      <x:c r="E253" s="9" t="n">
        <x:v>520</x:v>
      </x:c>
      <x:c r="F253" s="9" t="n">
        <x:v>1026</x:v>
      </x:c>
      <x:c r="G253" s="9" t="n">
        <x:v>511</x:v>
      </x:c>
      <x:c r="H253" s="9" t="n">
        <x:v>310</x:v>
      </x:c>
      <x:c r="I253" s="9" t="n">
        <x:v>268.6</x:v>
      </x:c>
    </x:row>
    <x:row r="254" ht="23" customHeight="1">
      <x:c r="A254" s="8" t="d">
        <x:v>2021-01-01T00:00:00.000Z</x:v>
      </x:c>
      <x:c r="B254" s="9" t="n">
        <x:v>2390</x:v>
      </x:c>
      <x:c r="C254" s="9" t="n">
        <x:v>234.5</x:v>
      </x:c>
      <x:c r="D254" s="9" t="n">
        <x:v>990</x:v>
      </x:c>
      <x:c r="E254" s="9" t="n">
        <x:v>545</x:v>
      </x:c>
      <x:c r="F254" s="9" t="n">
        <x:v>1099</x:v>
      </x:c>
      <x:c r="G254" s="9" t="n">
        <x:v>576</x:v>
      </x:c>
      <x:c r="H254" s="9" t="n">
        <x:v>340</x:v>
      </x:c>
      <x:c r="I254" s="9" t="n">
        <x:v>289.3</x:v>
      </x:c>
    </x:row>
    <x:row r="255" ht="23" customHeight="1">
      <x:c r="A255" s="8" t="d">
        <x:v>2021-02-01T00:00:00.000Z</x:v>
      </x:c>
      <x:c r="B255" s="9" t="n">
        <x:v>2410</x:v>
      </x:c>
      <x:c r="C255" s="9" t="n">
        <x:v>245.2</x:v>
      </x:c>
      <x:c r="D255" s="9" t="n">
        <x:v>1020</x:v>
      </x:c>
      <x:c r="E255" s="9" t="n">
        <x:v>557</x:v>
      </x:c>
      <x:c r="F255" s="9" t="n">
        <x:v>1124</x:v>
      </x:c>
      <x:c r="G255" s="9" t="n">
        <x:v>578</x:v>
      </x:c>
      <x:c r="H255" s="9" t="n">
        <x:v>360</x:v>
      </x:c>
      <x:c r="I255" s="9" t="n">
        <x:v>289.4</x:v>
      </x:c>
    </x:row>
    <x:row r="256" ht="23" customHeight="1">
      <x:c r="A256" s="8" t="d">
        <x:v>2021-03-01T00:00:00.000Z</x:v>
      </x:c>
      <x:c r="B256" s="9" t="n">
        <x:v>2460</x:v>
      </x:c>
      <x:c r="C256" s="9" t="n">
        <x:v>245.2</x:v>
      </x:c>
      <x:c r="D256" s="9" t="n">
        <x:v>1030</x:v>
      </x:c>
      <x:c r="E256" s="9" t="n">
        <x:v>525</x:v>
      </x:c>
      <x:c r="F256" s="9" t="n">
        <x:v>1285</x:v>
      </x:c>
      <x:c r="G256" s="9" t="n">
        <x:v>586</x:v>
      </x:c>
      <x:c r="H256" s="9" t="n">
        <x:v>340</x:v>
      </x:c>
      <x:c r="I256" s="9" t="n">
        <x:v>273.1</x:v>
      </x:c>
    </x:row>
    <x:row r="257" ht="23" customHeight="1">
      <x:c r="A257" s="8" t="d">
        <x:v>2021-04-01T00:00:00.000Z</x:v>
      </x:c>
      <x:c r="B257" s="9" t="n">
        <x:v>2370</x:v>
      </x:c>
      <x:c r="C257" s="9" t="n">
        <x:v>268.2</x:v>
      </x:c>
      <x:c r="D257" s="9" t="n">
        <x:v>1078</x:v>
      </x:c>
      <x:c r="E257" s="9" t="n">
        <x:v>495</x:v>
      </x:c>
      <x:c r="F257" s="9" t="n">
        <x:v>1386</x:v>
      </x:c>
      <x:c r="G257" s="9" t="n">
        <x:v>597</x:v>
      </x:c>
      <x:c r="H257" s="9" t="n">
        <x:v>360</x:v>
      </x:c>
      <x:c r="I257" s="9" t="n">
        <x:v>281</x:v>
      </x:c>
    </x:row>
    <x:row r="258" ht="23" customHeight="1">
      <x:c r="A258" s="8" t="d">
        <x:v>2021-05-01T00:00:00.000Z</x:v>
      </x:c>
      <x:c r="B258" s="9" t="n">
        <x:v>2410</x:v>
      </x:c>
      <x:c r="C258" s="9" t="n">
        <x:v>305.3</x:v>
      </x:c>
      <x:c r="D258" s="9" t="n">
        <x:v>1136</x:v>
      </x:c>
      <x:c r="E258" s="9" t="n">
        <x:v>493</x:v>
      </x:c>
      <x:c r="F258" s="9" t="n">
        <x:v>1575</x:v>
      </x:c>
      <x:c r="G258" s="9" t="n">
        <x:v>647</x:v>
      </x:c>
      <x:c r="H258" s="9" t="n">
        <x:v>380</x:v>
      </x:c>
      <x:c r="I258" s="9" t="n">
        <x:v>297.3</x:v>
      </x:c>
    </x:row>
    <x:row r="259" ht="23" customHeight="1">
      <x:c r="A259" s="8" t="d">
        <x:v>2021-06-01T00:00:00.000Z</x:v>
      </x:c>
      <x:c r="B259" s="9" t="n">
        <x:v>2370</x:v>
      </x:c>
      <x:c r="C259" s="9" t="n">
        <x:v>292.6</x:v>
      </x:c>
      <x:c r="D259" s="9" t="n">
        <x:v>1004</x:v>
      </x:c>
      <x:c r="E259" s="9" t="n">
        <x:v>466</x:v>
      </x:c>
      <x:c r="F259" s="9" t="n">
        <x:v>1518</x:v>
      </x:c>
      <x:c r="G259" s="9" t="n">
        <x:v>615</x:v>
      </x:c>
      <x:c r="H259" s="9" t="n">
        <x:v>380</x:v>
      </x:c>
      <x:c r="I259" s="9" t="n">
        <x:v>285.6</x:v>
      </x:c>
    </x:row>
    <x:row r="260" ht="23" customHeight="1">
      <x:c r="A260" s="8" t="d">
        <x:v>2021-07-01T00:00:00.000Z</x:v>
      </x:c>
      <x:c r="B260" s="9" t="n">
        <x:v>2330</x:v>
      </x:c>
      <x:c r="C260" s="9" t="n">
        <x:v>278.4</x:v>
      </x:c>
      <x:c r="D260" s="9" t="n">
        <x:v>1063</x:v>
      </x:c>
      <x:c r="E260" s="9" t="n">
        <x:v>414</x:v>
      </x:c>
      <x:c r="F260" s="9" t="n">
        <x:v>1468</x:v>
      </x:c>
      <x:c r="G260" s="9" t="n">
        <x:v>600</x:v>
      </x:c>
      <x:c r="H260" s="9" t="n">
        <x:v>390</x:v>
      </x:c>
      <x:c r="I260" s="9" t="n">
        <x:v>294.3</x:v>
      </x:c>
    </x:row>
    <x:row r="261" ht="23" customHeight="1">
      <x:c r="A261" s="8" t="d">
        <x:v>2021-08-01T00:00:00.000Z</x:v>
      </x:c>
      <x:c r="B261" s="9" t="n">
        <x:v>2480</x:v>
      </x:c>
      <x:c r="C261" s="9" t="n">
        <x:v>256.6</x:v>
      </x:c>
      <x:c r="D261" s="9" t="n">
        <x:v>1142</x:v>
      </x:c>
      <x:c r="E261" s="9" t="n">
        <x:v>403</x:v>
      </x:c>
      <x:c r="F261" s="9" t="n">
        <x:v>1434</x:v>
      </x:c>
      <x:c r="G261" s="9" t="n">
        <x:v>586</x:v>
      </x:c>
      <x:c r="H261" s="9" t="n">
        <x:v>430</x:v>
      </x:c>
      <x:c r="I261" s="9" t="n">
        <x:v>324.5</x:v>
      </x:c>
    </x:row>
    <x:row r="262" ht="23" customHeight="1">
      <x:c r="A262" s="8" t="d">
        <x:v>2021-09-01T00:00:00.000Z</x:v>
      </x:c>
      <x:c r="B262" s="9" t="n">
        <x:v>2560</x:v>
      </x:c>
      <x:c r="C262" s="9" t="n">
        <x:v>235.6</x:v>
      </x:c>
      <x:c r="D262" s="9" t="n">
        <x:v>1181</x:v>
      </x:c>
      <x:c r="E262" s="9" t="n">
        <x:v>400</x:v>
      </x:c>
      <x:c r="F262" s="9" t="n">
        <x:v>1399</x:v>
      </x:c>
      <x:c r="G262" s="9" t="n">
        <x:v>558</x:v>
      </x:c>
      <x:c r="H262" s="9" t="n">
        <x:v>430</x:v>
      </x:c>
      <x:c r="I262" s="9" t="n">
        <x:v>337.6</x:v>
      </x:c>
    </x:row>
    <x:row r="263" ht="23" customHeight="1">
      <x:c r="A263" s="8" t="d">
        <x:v>2021-10-01T00:00:00.000Z</x:v>
      </x:c>
      <x:c r="B263" s="9" t="n">
        <x:v>2570</x:v>
      </x:c>
      <x:c r="C263" s="9" t="n">
        <x:v>239.6</x:v>
      </x:c>
      <x:c r="D263" s="9" t="n">
        <x:v>1310</x:v>
      </x:c>
      <x:c r="E263" s="9" t="n">
        <x:v>401</x:v>
      </x:c>
      <x:c r="F263" s="9" t="n">
        <x:v>1484</x:v>
      </x:c>
      <x:c r="G263" s="9" t="n">
        <x:v>552</x:v>
      </x:c>
      <x:c r="H263" s="9" t="n">
        <x:v>420</x:v>
      </x:c>
      <x:c r="I263" s="9" t="n">
        <x:v>354.7</x:v>
      </x:c>
    </x:row>
    <x:row r="264" ht="23" customHeight="1">
      <x:c r="A264" s="8" t="d">
        <x:v>2021-11-01T00:00:00.000Z</x:v>
      </x:c>
      <x:c r="B264" s="9" t="n">
        <x:v>2390</x:v>
      </x:c>
      <x:c r="C264" s="9" t="n">
        <x:v>248.7</x:v>
      </x:c>
      <x:c r="D264" s="9" t="n">
        <x:v>1341</x:v>
      </x:c>
      <x:c r="E264" s="9" t="n">
        <x:v>400</x:v>
      </x:c>
      <x:c r="F264" s="9" t="n">
        <x:v>1443</x:v>
      </x:c>
      <x:c r="G264" s="9" t="n">
        <x:v>551</x:v>
      </x:c>
      <x:c r="H264" s="9" t="n">
        <x:v>430</x:v>
      </x:c>
      <x:c r="I264" s="9" t="n">
        <x:v>379.5</x:v>
      </x:c>
    </x:row>
    <x:row r="265" ht="23" customHeight="1">
      <x:c r="A265" s="8" t="d">
        <x:v>2021-12-01T00:00:00.000Z</x:v>
      </x:c>
      <x:c r="B265" s="9" t="n">
        <x:v>2380</x:v>
      </x:c>
      <x:c r="C265" s="9" t="n">
        <x:v>264.5</x:v>
      </x:c>
      <x:c r="D265" s="9" t="n">
        <x:v>1270</x:v>
      </x:c>
      <x:c r="E265" s="9" t="n">
        <x:v>400</x:v>
      </x:c>
      <x:c r="F265" s="9" t="n">
        <x:v>1411</x:v>
      </x:c>
      <x:c r="G265" s="9" t="n">
        <x:v>554</x:v>
      </x:c>
      <x:c r="H265" s="9" t="n">
        <x:v>420</x:v>
      </x:c>
      <x:c r="I265" s="9" t="n">
        <x:v>376.8</x:v>
      </x:c>
    </x:row>
    <x:row r="266" ht="23" customHeight="1">
      <x:c r="A266" s="8" t="d">
        <x:v>2022-01-01T00:00:00.000Z</x:v>
      </x:c>
      <x:c r="B266" s="9" t="n">
        <x:v>2470</x:v>
      </x:c>
      <x:c r="C266" s="9" t="n">
        <x:v>276.6</x:v>
      </x:c>
      <x:c r="D266" s="9" t="n">
        <x:v>1345</x:v>
      </x:c>
      <x:c r="E266" s="9" t="n">
        <x:v>427</x:v>
      </x:c>
      <x:c r="F266" s="9" t="n">
        <x:v>1470</x:v>
      </x:c>
      <x:c r="G266" s="9" t="n">
        <x:v>606</x:v>
      </x:c>
      <x:c r="H266" s="9" t="n">
        <x:v>400</x:v>
      </x:c>
      <x:c r="I266" s="9" t="n">
        <x:v>374.2</x:v>
      </x:c>
    </x:row>
    <x:row r="267" ht="23" customHeight="1">
      <x:c r="A267" s="8" t="d">
        <x:v>2022-02-01T00:00:00.000Z</x:v>
      </x:c>
      <x:c r="B267" s="9" t="n">
        <x:v>2550</x:v>
      </x:c>
      <x:c r="C267" s="9" t="n">
        <x:v>292.6</x:v>
      </x:c>
      <x:c r="D267" s="9" t="n">
        <x:v>1522</x:v>
      </x:c>
      <x:c r="E267" s="9" t="n">
        <x:v>427</x:v>
      </x:c>
      <x:c r="F267" s="9" t="n">
        <x:v>1596</x:v>
      </x:c>
      <x:c r="G267" s="9" t="n">
        <x:v>662</x:v>
      </x:c>
      <x:c r="H267" s="9" t="n">
        <x:v>390</x:v>
      </x:c>
      <x:c r="I267" s="9" t="n">
        <x:v>390.5</x:v>
      </x:c>
    </x:row>
    <x:row r="268" ht="23" customHeight="1">
      <x:c r="A268" s="8" t="d">
        <x:v>2022-03-01T00:00:00.000Z</x:v>
      </x:c>
      <x:c r="B268" s="9" t="n">
        <x:v>2460</x:v>
      </x:c>
      <x:c r="C268" s="9" t="n">
        <x:v>335.5</x:v>
      </x:c>
      <x:c r="D268" s="9" t="n">
        <x:v>1777</x:v>
      </x:c>
      <x:c r="E268" s="9" t="n">
        <x:v>422</x:v>
      </x:c>
      <x:c r="F268" s="9" t="n">
        <x:v>1957</x:v>
      </x:c>
      <x:c r="G268" s="9" t="n">
        <x:v>721</x:v>
      </x:c>
      <x:c r="H268" s="9" t="n">
        <x:v>420</x:v>
      </x:c>
      <x:c r="I268" s="9" t="n">
        <x:v>486.3</x:v>
      </x:c>
    </x:row>
    <x:row r="269" ht="23" customHeight="1">
      <x:c r="A269" s="8" t="d">
        <x:v>2022-04-01T00:00:00.000Z</x:v>
      </x:c>
      <x:c r="B269" s="9" t="n">
        <x:v>2460</x:v>
      </x:c>
      <x:c r="C269" s="9" t="n">
        <x:v>348.2</x:v>
      </x:c>
      <x:c r="D269" s="9" t="n">
        <x:v>1683</x:v>
      </x:c>
      <x:c r="E269" s="9" t="n">
        <x:v>431</x:v>
      </x:c>
      <x:c r="F269" s="9" t="n">
        <x:v>1948</x:v>
      </x:c>
      <x:c r="G269" s="9" t="n">
        <x:v>721</x:v>
      </x:c>
      <x:c r="H269" s="9" t="n">
        <x:v>430</x:v>
      </x:c>
      <x:c r="I269" s="9" t="n">
        <x:v>495.3</x:v>
      </x:c>
    </x:row>
    <x:row r="270" ht="23" customHeight="1">
      <x:c r="A270" s="8" t="d">
        <x:v>2022-05-01T00:00:00.000Z</x:v>
      </x:c>
      <x:c r="B270" s="9" t="n">
        <x:v>2370</x:v>
      </x:c>
      <x:c r="C270" s="9" t="n">
        <x:v>344.8</x:v>
      </x:c>
      <x:c r="D270" s="9" t="n">
        <x:v>1717</x:v>
      </x:c>
      <x:c r="E270" s="9" t="n">
        <x:v>464</x:v>
      </x:c>
      <x:c r="F270" s="9" t="n">
        <x:v>1963</x:v>
      </x:c>
      <x:c r="G270" s="9" t="n">
        <x:v>724</x:v>
      </x:c>
      <x:c r="H270" s="9" t="n">
        <x:v>430</x:v>
      </x:c>
      <x:c r="I270" s="9" t="n">
        <x:v>522.3</x:v>
      </x:c>
    </x:row>
    <x:row r="271" ht="23" customHeight="1">
      <x:c r="A271" s="8" t="d">
        <x:v>2022-06-01T00:00:00.000Z</x:v>
      </x:c>
      <x:c r="B271" s="9" t="n">
        <x:v>2320</x:v>
      </x:c>
      <x:c r="C271" s="9" t="n">
        <x:v>335.7</x:v>
      </x:c>
      <x:c r="D271" s="9" t="n">
        <x:v>1501</x:v>
      </x:c>
      <x:c r="E271" s="9" t="n">
        <x:v>444</x:v>
      </x:c>
      <x:c r="F271" s="9" t="n">
        <x:v>1752</x:v>
      </x:c>
      <x:c r="G271" s="9" t="n">
        <x:v>737</x:v>
      </x:c>
      <x:c r="H271" s="9" t="n">
        <x:v>420</x:v>
      </x:c>
      <x:c r="I271" s="9" t="n">
        <x:v>459.6</x:v>
      </x:c>
    </x:row>
    <x:row r="272" ht="23" customHeight="1">
      <x:c r="A272" s="8" t="d">
        <x:v>2022-07-01T00:00:00.000Z</x:v>
      </x:c>
      <x:c r="B272" s="9" t="n">
        <x:v>2240</x:v>
      </x:c>
      <x:c r="C272" s="9" t="n">
        <x:v>323</x:v>
      </x:c>
      <x:c r="D272" s="9" t="n">
        <x:v>1057</x:v>
      </x:c>
      <x:c r="E272" s="9" t="n">
        <x:v>418</x:v>
      </x:c>
      <x:c r="F272" s="9" t="n">
        <x:v>1533</x:v>
      </x:c>
      <x:c r="G272" s="9" t="n">
        <x:v>678</x:v>
      </x:c>
      <x:c r="H272" s="9" t="n">
        <x:v>400</x:v>
      </x:c>
      <x:c r="I272" s="9" t="n">
        <x:v>382.5</x:v>
      </x:c>
    </x:row>
    <x:row r="273" ht="23" customHeight="1">
      <x:c r="A273" s="8" t="d">
        <x:v>2022-08-01T00:00:00.000Z</x:v>
      </x:c>
      <x:c r="B273" s="9" t="n">
        <x:v>2320</x:v>
      </x:c>
      <x:c r="C273" s="9" t="n">
        <x:v>289.8</x:v>
      </x:c>
      <x:c r="D273" s="9" t="n">
        <x:v>1026</x:v>
      </x:c>
      <x:c r="E273" s="9" t="n">
        <x:v>431</x:v>
      </x:c>
      <x:c r="F273" s="9" t="n">
        <x:v>1599</x:v>
      </x:c>
      <x:c r="G273" s="9" t="n">
        <x:v>671</x:v>
      </x:c>
      <x:c r="H273" s="9" t="n">
        <x:v>390</x:v>
      </x:c>
      <x:c r="I273" s="9" t="n">
        <x:v>382.9</x:v>
      </x:c>
    </x:row>
    <x:row r="274" ht="23" customHeight="1">
      <x:c r="A274" s="8" t="d">
        <x:v>2022-09-01T00:00:00.000Z</x:v>
      </x:c>
      <x:c r="B274" s="9" t="n">
        <x:v>2300</x:v>
      </x:c>
      <x:c r="C274" s="9" t="n">
        <x:v>312.7</x:v>
      </x:c>
      <x:c r="D274" s="9" t="n">
        <x:v>909</x:v>
      </x:c>
      <x:c r="E274" s="9" t="n">
        <x:v>439</x:v>
      </x:c>
      <x:c r="F274" s="9" t="n">
        <x:v>1548</x:v>
      </x:c>
      <x:c r="G274" s="9" t="n">
        <x:v>664</x:v>
      </x:c>
      <x:c r="H274" s="9" t="n">
        <x:v>390</x:v>
      </x:c>
      <x:c r="I274" s="9" t="n">
        <x:v>419.1</x:v>
      </x:c>
    </x:row>
    <x:row r="275" ht="23" customHeight="1">
      <x:c r="A275" s="8" t="d">
        <x:v>2022-10-01T00:00:00.000Z</x:v>
      </x:c>
      <x:c r="B275" s="9" t="n">
        <x:v>2310</x:v>
      </x:c>
      <x:c r="C275" s="9" t="n">
        <x:v>343.6</x:v>
      </x:c>
      <x:c r="D275" s="9" t="n">
        <x:v>889</x:v>
      </x:c>
      <x:c r="E275" s="9" t="n">
        <x:v>431</x:v>
      </x:c>
      <x:c r="F275" s="9" t="n">
        <x:v>1576</x:v>
      </x:c>
      <x:c r="G275" s="9" t="n">
        <x:v>626</x:v>
      </x:c>
      <x:c r="H275" s="9" t="n">
        <x:v>390</x:v>
      </x:c>
      <x:c r="I275" s="9" t="n">
        <x:v>438</x:v>
      </x:c>
    </x:row>
    <x:row r="276" ht="23" customHeight="1">
      <x:c r="A276" s="8" t="d">
        <x:v>2022-11-01T00:00:00.000Z</x:v>
      </x:c>
      <x:c r="B276" s="9" t="n">
        <x:v>2410</x:v>
      </x:c>
      <x:c r="C276" s="9" t="n">
        <x:v>320.9</x:v>
      </x:c>
      <x:c r="D276" s="9" t="n">
        <x:v>946</x:v>
      </x:c>
      <x:c r="E276" s="9" t="n">
        <x:v>440</x:v>
      </x:c>
      <x:c r="F276" s="9" t="n">
        <x:v>1652</x:v>
      </x:c>
      <x:c r="G276" s="9" t="n">
        <x:v>649</x:v>
      </x:c>
      <x:c r="H276" s="9" t="n">
        <x:v>410</x:v>
      </x:c>
      <x:c r="I276" s="9" t="n">
        <x:v>422.7</x:v>
      </x:c>
    </x:row>
    <x:row r="277" ht="23" customHeight="1">
      <x:c r="A277" s="8" t="d">
        <x:v>2022-12-01T00:00:00.000Z</x:v>
      </x:c>
      <x:c r="B277" s="9" t="n">
        <x:v>2510</x:v>
      </x:c>
      <x:c r="C277" s="9" t="n">
        <x:v>302.2</x:v>
      </x:c>
      <x:c r="D277" s="9" t="n">
        <x:v>940</x:v>
      </x:c>
      <x:c r="E277" s="9" t="n">
        <x:v>467</x:v>
      </x:c>
      <x:c r="F277" s="9" t="n">
        <x:v>1409</x:v>
      </x:c>
      <x:c r="G277" s="9" t="n">
        <x:v>646</x:v>
      </x:c>
      <x:c r="H277" s="9" t="n">
        <x:v>420</x:v>
      </x:c>
      <x:c r="I277" s="9" t="n">
        <x:v>386.3</x:v>
      </x:c>
    </x:row>
    <x:row r="278" ht="23" customHeight="1">
      <x:c r="A278" s="8" t="d">
        <x:v>2023-01-01T00:00:00.000Z</x:v>
      </x:c>
      <x:c r="B278" s="9" t="n">
        <x:v>2620</x:v>
      </x:c>
      <x:c r="C278" s="9" t="n">
        <x:v>302.8</x:v>
      </x:c>
      <x:c r="D278" s="9" t="n">
        <x:v>942</x:v>
      </x:c>
      <x:c r="E278" s="9" t="n">
        <x:v>517</x:v>
      </x:c>
      <x:c r="F278" s="9" t="n">
        <x:v>1352</x:v>
      </x:c>
      <x:c r="G278" s="9" t="n">
        <x:v>627</x:v>
      </x:c>
      <x:c r="H278" s="9" t="n">
        <x:v>420</x:v>
      </x:c>
      <x:c r="I278" s="9" t="n">
        <x:v>380.4</x:v>
      </x:c>
    </x:row>
    <x:row r="279" ht="23" customHeight="1">
      <x:c r="A279" s="8" t="d">
        <x:v>2023-02-01T00:00:00.000Z</x:v>
      </x:c>
      <x:c r="B279" s="9" t="n">
        <x:v>2650</x:v>
      </x:c>
      <x:c r="C279" s="9" t="n">
        <x:v>298.2</x:v>
      </x:c>
      <x:c r="D279" s="9" t="n">
        <x:v>950</x:v>
      </x:c>
      <x:c r="E279" s="9" t="n">
        <x:v>492</x:v>
      </x:c>
      <x:c r="F279" s="9" t="n">
        <x:v>1243</x:v>
      </x:c>
      <x:c r="G279" s="9" t="n">
        <x:v>651</x:v>
      </x:c>
      <x:c r="H279" s="9" t="n">
        <x:v>450</x:v>
      </x:c>
      <x:c r="I279" s="9" t="n">
        <x:v>394.8</x:v>
      </x:c>
    </x:row>
    <x:row r="280" ht="23" customHeight="1">
      <x:c r="A280" s="8" t="d">
        <x:v>2023-03-01T00:00:00.000Z</x:v>
      </x:c>
      <x:c r="B280" s="9" t="n">
        <x:v>2750</x:v>
      </x:c>
      <x:c r="C280" s="9" t="n">
        <x:v>282.5</x:v>
      </x:c>
      <x:c r="D280" s="9" t="n">
        <x:v>972</x:v>
      </x:c>
      <x:c r="E280" s="9" t="n">
        <x:v>476</x:v>
      </x:c>
      <x:c r="F280" s="9" t="n">
        <x:v>1113</x:v>
      </x:c>
      <x:c r="G280" s="9" t="n">
        <x:v>628</x:v>
      </x:c>
      <x:c r="H280" s="9" t="n">
        <x:v>450</x:v>
      </x:c>
      <x:c r="I280" s="9" t="n">
        <x:v>369.9</x:v>
      </x:c>
    </x:row>
    <x:row r="281" ht="23" customHeight="1">
      <x:c r="A281" s="8" t="d">
        <x:v>2023-04-01T00:00:00.000Z</x:v>
      </x:c>
      <x:c r="B281" s="9" t="n">
        <x:v>2880</x:v>
      </x:c>
      <x:c r="C281" s="9" t="n">
        <x:v>291.1</x:v>
      </x:c>
      <x:c r="D281" s="9" t="n">
        <x:v>1005</x:v>
      </x:c>
      <x:c r="E281" s="9" t="n">
        <x:v>501</x:v>
      </x:c>
      <x:c r="F281" s="9" t="n">
        <x:v>1030</x:v>
      </x:c>
      <x:c r="G281" s="9" t="n">
        <x:v>615</x:v>
      </x:c>
      <x:c r="H281" s="9" t="n">
        <x:v>530</x:v>
      </x:c>
      <x:c r="I281" s="9" t="n">
        <x:v>378.2</x:v>
      </x:c>
    </x:row>
    <x:row r="282" ht="23" customHeight="1">
      <x:c r="A282" s="8" t="d">
        <x:v>2023-05-01T00:00:00.000Z</x:v>
      </x:c>
      <x:c r="B282" s="9" t="n">
        <x:v>2960</x:v>
      </x:c>
      <x:c r="C282" s="9" t="n">
        <x:v>268.1</x:v>
      </x:c>
      <x:c r="D282" s="9" t="n">
        <x:v>934</x:v>
      </x:c>
      <x:c r="E282" s="9" t="n">
        <x:v>510</x:v>
      </x:c>
      <x:c r="F282" s="9" t="n">
        <x:v>988</x:v>
      </x:c>
      <x:c r="G282" s="9" t="n">
        <x:v>595</x:v>
      </x:c>
      <x:c r="H282" s="9" t="n">
        <x:v>560</x:v>
      </x:c>
      <x:c r="I282" s="9" t="n">
        <x:v>367.7</x:v>
      </x:c>
    </x:row>
    <x:row r="283" ht="23" customHeight="1">
      <x:c r="A283" s="8" t="d">
        <x:v>2023-06-01T00:00:00.000Z</x:v>
      </x:c>
      <x:c r="B283" s="9" t="n">
        <x:v>3170</x:v>
      </x:c>
      <x:c r="C283" s="9" t="n">
        <x:v>266.9</x:v>
      </x:c>
      <x:c r="D283" s="9" t="n">
        <x:v>817</x:v>
      </x:c>
      <x:c r="E283" s="9" t="n">
        <x:v>514</x:v>
      </x:c>
      <x:c r="F283" s="9" t="n">
        <x:v>1007</x:v>
      </x:c>
      <x:c r="G283" s="9" t="n">
        <x:v>592</x:v>
      </x:c>
      <x:c r="H283" s="9" t="n">
        <x:v>540</x:v>
      </x:c>
      <x:c r="I283" s="9" t="n">
        <x:v>345.5</x:v>
      </x:c>
    </x:row>
    <x:row r="284" ht="23" customHeight="1">
      <x:c r="A284" s="8" t="d">
        <x:v>2023-07-01T00:00:00.000Z</x:v>
      </x:c>
      <x:c r="B284" s="9" t="n">
        <x:v>3390</x:v>
      </x:c>
      <x:c r="C284" s="9" t="n">
        <x:v>242.4</x:v>
      </x:c>
      <x:c r="D284" s="9" t="n">
        <x:v>879</x:v>
      </x:c>
      <x:c r="E284" s="9" t="n">
        <x:v>547</x:v>
      </x:c>
      <x:c r="F284" s="9" t="n">
        <x:v>1136</x:v>
      </x:c>
      <x:c r="G284" s="9" t="n">
        <x:v>634</x:v>
      </x:c>
      <x:c r="H284" s="9" t="n">
        <x:v>520</x:v>
      </x:c>
      <x:c r="I284" s="9" t="n">
        <x:v>345.5</x:v>
      </x:c>
    </x:row>
    <x:row r="285" ht="23" customHeight="1">
      <x:c r="A285" s="8" t="d">
        <x:v>2023-08-01T00:00:00.000Z</x:v>
      </x:c>
      <x:c r="B285" s="9" t="n">
        <x:v>3460</x:v>
      </x:c>
      <x:c r="C285" s="9" t="n">
        <x:v>207.6</x:v>
      </x:c>
      <x:c r="D285" s="9" t="n">
        <x:v>861</x:v>
      </x:c>
      <x:c r="E285" s="9" t="n">
        <x:v>635</x:v>
      </x:c>
      <x:c r="F285" s="9" t="n">
        <x:v>1127</x:v>
      </x:c>
      <x:c r="G285" s="9" t="n">
        <x:v>584</x:v>
      </x:c>
      <x:c r="H285" s="9" t="n">
        <x:v>530</x:v>
      </x:c>
      <x:c r="I285" s="9" t="n">
        <x:v>315.8</x:v>
      </x:c>
    </x:row>
    <x:row r="286" ht="23" customHeight="1">
      <x:c r="A286" s="8" t="d">
        <x:v>2023-09-01T00:00:00.000Z</x:v>
      </x:c>
      <x:c r="B286" s="9" t="n">
        <x:v>3610</x:v>
      </x:c>
      <x:c r="C286" s="9" t="n">
        <x:v>223.8</x:v>
      </x:c>
      <x:c r="D286" s="9" t="n">
        <x:v>830</x:v>
      </x:c>
      <x:c r="E286" s="9" t="n">
        <x:v>620</x:v>
      </x:c>
      <x:c r="F286" s="9" t="n">
        <x:v>1112</x:v>
      </x:c>
      <x:c r="G286" s="9" t="n">
        <x:v>619</x:v>
      </x:c>
      <x:c r="H286" s="9" t="n">
        <x:v>580</x:v>
      </x:c>
      <x:c r="I286" s="9" t="n">
        <x:v>314.7</x:v>
      </x:c>
    </x:row>
    <x:row r="287" ht="23" customHeight="1">
      <x:c r="A287" s="8" t="d">
        <x:v>2023-10-01T00:00:00.000Z</x:v>
      </x:c>
      <x:c r="B287" s="9" t="n">
        <x:v>3630</x:v>
      </x:c>
      <x:c r="C287" s="9" t="n">
        <x:v>230.7</x:v>
      </x:c>
      <x:c r="D287" s="9" t="n">
        <x:v>804</x:v>
      </x:c>
      <x:c r="E287" s="9" t="n">
        <x:v>590</x:v>
      </x:c>
      <x:c r="F287" s="9" t="n">
        <x:v>1134</x:v>
      </x:c>
      <x:c r="G287" s="9" t="n">
        <x:v>530</x:v>
      </x:c>
      <x:c r="H287" s="9" t="n">
        <x:v>570</x:v>
      </x:c>
      <x:c r="I287" s="9" t="n">
        <x:v>298.1</x:v>
      </x:c>
    </x:row>
    <x:row r="288" ht="23" customHeight="1">
      <x:c r="A288" s="8" t="d">
        <x:v>2023-11-01T00:00:00.000Z</x:v>
      </x:c>
      <x:c r="B288" s="9" t="n">
        <x:v>4030</x:v>
      </x:c>
      <x:c r="C288" s="9" t="n">
        <x:v>211.3</x:v>
      </x:c>
      <x:c r="D288" s="9" t="n">
        <x:v>830</x:v>
      </x:c>
      <x:c r="E288" s="9" t="n">
        <x:v>598</x:v>
      </x:c>
      <x:c r="F288" s="9" t="n">
        <x:v>1118</x:v>
      </x:c>
      <x:c r="G288" s="9" t="n">
        <x:v>553</x:v>
      </x:c>
      <x:c r="H288" s="9" t="n">
        <x:v>570</x:v>
      </x:c>
      <x:c r="I288" s="9" t="n">
        <x:v>283.6</x:v>
      </x:c>
    </x:row>
    <x:row r="289" ht="23" customHeight="1">
      <x:c r="A289" s="8" t="d">
        <x:v>2023-12-01T00:00:00.000Z</x:v>
      </x:c>
      <x:c r="B289" s="9" t="n">
        <x:v>4210</x:v>
      </x:c>
      <x:c r="C289" s="9" t="n">
        <x:v>206.5</x:v>
      </x:c>
      <x:c r="D289" s="9" t="n">
        <x:v>814</x:v>
      </x:c>
      <x:c r="E289" s="9" t="n">
        <x:v>644</x:v>
      </x:c>
      <x:c r="F289" s="9" t="n">
        <x:v>1062</x:v>
      </x:c>
      <x:c r="G289" s="9" t="n">
        <x:v>547</x:v>
      </x:c>
      <x:c r="H289" s="9" t="n">
        <x:v>480</x:v>
      </x:c>
      <x:c r="I289" s="9" t="n">
        <x:v>291.1</x:v>
      </x:c>
    </x:row>
    <x:row r="290" ht="23" customHeight="1">
      <x:c r="A290" s="8" t="d">
        <x:v>2024-01-01T00:00:00.000Z</x:v>
      </x:c>
      <x:c r="B290" s="9" t="n">
        <x:v>4400</x:v>
      </x:c>
      <x:c r="C290" s="9" t="n">
        <x:v>198.6</x:v>
      </x:c>
      <x:c r="D290" s="9" t="n">
        <x:v>845</x:v>
      </x:c>
      <x:c r="E290" s="9" t="n">
        <x:v>660</x:v>
      </x:c>
      <x:c r="F290" s="9" t="n">
        <x:v>971</x:v>
      </x:c>
      <x:c r="G290" s="9" t="n">
        <x:v>547</x:v>
      </x:c>
      <x:c r="H290" s="9" t="n">
        <x:v>480</x:v>
      </x:c>
      <x:c r="I290" s="9" t="n">
        <x:v>283.9</x:v>
      </x:c>
    </x:row>
    <x:row r="291" ht="23" customHeight="1">
      <x:c r="A291" s="8" t="d">
        <x:v>2024-02-01T00:00:00.000Z</x:v>
      </x:c>
      <x:c r="B291" s="9" t="n">
        <x:v>5560</x:v>
      </x:c>
      <x:c r="C291" s="9" t="n">
        <x:v>189.1</x:v>
      </x:c>
      <x:c r="D291" s="9" t="n">
        <x:v>857</x:v>
      </x:c>
      <x:c r="E291" s="9" t="n">
        <x:v>624</x:v>
      </x:c>
      <x:c r="F291" s="9" t="n">
        <x:v>912</x:v>
      </x:c>
      <x:c r="G291" s="9" t="n">
        <x:v>520</x:v>
      </x:c>
      <x:c r="H291" s="9" t="n">
        <x:v>500</x:v>
      </x:c>
      <x:c r="I291" s="9" t="n">
        <x:v>278.5</x:v>
      </x:c>
    </x:row>
    <x:row r="292" ht="23" customHeight="1">
      <x:c r="A292" s="8" t="d">
        <x:v>2024-03-01T00:00:00.000Z</x:v>
      </x:c>
      <x:c r="B292" s="9" t="n">
        <x:v>7090</x:v>
      </x:c>
      <x:c r="C292" s="9" t="n">
        <x:v>190.6</x:v>
      </x:c>
      <x:c r="D292" s="9" t="n">
        <x:v>943</x:v>
      </x:c>
      <x:c r="E292" s="9" t="n">
        <x:v>613</x:v>
      </x:c>
      <x:c r="F292" s="9" t="n">
        <x:v>965</x:v>
      </x:c>
      <x:c r="G292" s="9" t="n">
        <x:v>487</x:v>
      </x:c>
      <x:c r="H292" s="9" t="n">
        <x:v>480</x:v>
      </x:c>
      <x:c r="I292" s="9" t="n">
        <x:v>274.8</x:v>
      </x:c>
    </x:row>
    <x:row r="293" ht="23" customHeight="1">
      <x:c r="A293" s="8" t="d">
        <x:v>2024-04-01T00:00:00.000Z</x:v>
      </x:c>
      <x:c r="B293" s="9" t="n">
        <x:v>9740</x:v>
      </x:c>
      <x:c r="C293" s="9" t="n">
        <x:v>191.7</x:v>
      </x:c>
      <x:c r="D293" s="9" t="n">
        <x:v>936</x:v>
      </x:c>
      <x:c r="E293" s="9" t="n">
        <x:v>592</x:v>
      </x:c>
      <x:c r="F293" s="9" t="n">
        <x:v>959</x:v>
      </x:c>
      <x:c r="G293" s="9" t="n">
        <x:v>477</x:v>
      </x:c>
      <x:c r="H293" s="9" t="n">
        <x:v>450</x:v>
      </x:c>
      <x:c r="I293" s="9" t="n">
        <x:v>272.3</x:v>
      </x:c>
    </x:row>
    <x:row r="294" ht="23" customHeight="1">
      <x:c r="A294" s="8" t="d">
        <x:v>2024-05-01T00:00:00.000Z</x:v>
      </x:c>
      <x:c r="B294" s="9" t="n">
        <x:v>7540</x:v>
      </x:c>
      <x:c r="C294" s="9" t="n">
        <x:v>197.8</x:v>
      </x:c>
      <x:c r="D294" s="9" t="n">
        <x:v>859</x:v>
      </x:c>
      <x:c r="E294" s="9" t="n">
        <x:v>628</x:v>
      </x:c>
      <x:c r="F294" s="9" t="n">
        <x:v>988</x:v>
      </x:c>
      <x:c r="G294" s="9" t="n">
        <x:v>490</x:v>
      </x:c>
      <x:c r="H294" s="9" t="n">
        <x:v>420</x:v>
      </x:c>
      <x:c r="I294" s="9" t="n">
        <x:v>289.4</x:v>
      </x:c>
    </x:row>
    <x:row r="295" ht="23" customHeight="1">
      <x:c r="A295" s="8" t="d">
        <x:v>2024-06-01T00:00:00.000Z</x:v>
      </x:c>
      <x:c r="B295" s="9" t="n">
        <x:v>8270</x:v>
      </x:c>
      <x:c r="C295" s="9" t="n">
        <x:v>192.5</x:v>
      </x:c>
      <x:c r="D295" s="9" t="n">
        <x:v>874</x:v>
      </x:c>
      <x:c r="E295" s="9" t="n">
        <x:v>632</x:v>
      </x:c>
      <x:c r="F295" s="9" t="n">
        <x:v>1011</x:v>
      </x:c>
      <x:c r="G295" s="9" t="n">
        <x:v>480</x:v>
      </x:c>
      <x:c r="H295" s="9" t="n">
        <x:v>430</x:v>
      </x:c>
      <x:c r="I295" s="9" t="n">
        <x:v>265.6</x:v>
      </x:c>
    </x:row>
    <x:row r="296" ht="23" customHeight="1">
      <x:c r="A296" s="8" t="d">
        <x:v>2024-07-01T00:00:00.000Z</x:v>
      </x:c>
      <x:c r="B296" s="9" t="n">
        <x:v>7090</x:v>
      </x:c>
      <x:c r="C296" s="9" t="n">
        <x:v>177.4</x:v>
      </x:c>
      <x:c r="D296" s="9" t="n">
        <x:v>896</x:v>
      </x:c>
      <x:c r="E296" s="9" t="n">
        <x:v>590</x:v>
      </x:c>
      <x:c r="F296" s="9" t="n">
        <x:v>1079</x:v>
      </x:c>
      <x:c r="G296" s="9" t="n">
        <x:v>470</x:v>
      </x:c>
      <x:c r="H296" s="9" t="n">
        <x:v>430</x:v>
      </x:c>
      <x:c r="I296" s="9" t="n">
        <x:v>260.3</x:v>
      </x:c>
    </x:row>
    <x:row r="297" ht="23" customHeight="1">
      <x:c r="A297" s="8" t="d">
        <x:v>2024-08-01T00:00:00.000Z</x:v>
      </x:c>
      <x:c r="B297" s="9" t="n">
        <x:v>6880</x:v>
      </x:c>
      <x:c r="C297" s="9" t="n">
        <x:v>170.3</x:v>
      </x:c>
      <x:c r="D297" s="9" t="n">
        <x:v>933</x:v>
      </x:c>
      <x:c r="E297" s="9" t="n">
        <x:v>589</x:v>
      </x:c>
      <x:c r="F297" s="9" t="n">
        <x:v>1031</x:v>
      </x:c>
      <x:c r="G297" s="9" t="n">
        <x:v>400</x:v>
      </x:c>
      <x:c r="H297" s="9" t="n">
        <x:v>410</x:v>
      </x:c>
      <x:c r="I297" s="9" t="n">
        <x:v>250.9</x:v>
      </x:c>
    </x:row>
    <x:row r="298" ht="23" customHeight="1">
      <x:c r="A298" s="8" t="d">
        <x:v>2024-09-01T00:00:00.000Z</x:v>
      </x:c>
      <x:c r="B298" s="9" t="n">
        <x:v>6520</x:v>
      </x:c>
      <x:c r="C298" s="9" t="n">
        <x:v>185</x:v>
      </x:c>
      <x:c r="D298" s="9" t="n">
        <x:v>983</x:v>
      </x:c>
      <x:c r="E298" s="9" t="n">
        <x:v>580</x:v>
      </x:c>
      <x:c r="F298" s="9" t="n">
        <x:v>1044</x:v>
      </x:c>
      <x:c r="G298" s="9" t="n">
        <x:v>391</x:v>
      </x:c>
      <x:c r="H298" s="9" t="n">
        <x:v>450</x:v>
      </x:c>
      <x:c r="I298" s="9" t="n">
        <x:v>269.7</x:v>
      </x:c>
    </x:row>
    <x:row r="299" ht="23" customHeight="1">
      <x:c r="A299" s="8" t="d">
        <x:v>2024-10-01T00:00:00.000Z</x:v>
      </x:c>
      <x:c r="B299" s="9" t="n">
        <x:v>6660</x:v>
      </x:c>
      <x:c r="C299" s="9" t="n">
        <x:v>190.3</x:v>
      </x:c>
      <x:c r="D299" s="9" t="n">
        <x:v>1077</x:v>
      </x:c>
      <x:c r="E299" s="9" t="n">
        <x:v>515</x:v>
      </x:c>
      <x:c r="F299" s="9" t="n">
        <x:v>1095</x:v>
      </x:c>
      <x:c r="G299" s="9" t="n">
        <x:v>442</x:v>
      </x:c>
      <x:c r="H299" s="9" t="n">
        <x:v>460</x:v>
      </x:c>
      <x:c r="I299" s="9" t="n">
        <x:v>272.9</x:v>
      </x:c>
    </x:row>
    <x:row r="300" ht="23" customHeight="1">
      <x:c r="A300" s="8" t="d">
        <x:v>2024-11-01T00:00:00.000Z</x:v>
      </x:c>
      <x:c r="B300" s="9" t="n">
        <x:v>7890</x:v>
      </x:c>
      <x:c r="C300" s="9" t="n">
        <x:v>201.3</x:v>
      </x:c>
      <x:c r="D300" s="9" t="n">
        <x:v>1169</x:v>
      </x:c>
      <x:c r="E300" s="9" t="n">
        <x:v>511</x:v>
      </x:c>
      <x:c r="F300" s="9" t="n">
        <x:v>1145</x:v>
      </x:c>
      <x:c r="G300" s="9" t="n">
        <x:v>436</x:v>
      </x:c>
      <x:c r="H300" s="9" t="n">
        <x:v>450</x:v>
      </x:c>
      <x:c r="I300" s="9" t="n">
        <x:v>253.8</x:v>
      </x:c>
    </x:row>
    <x:row r="301" ht="23" customHeight="1">
      <x:c r="A301" s="8" t="d">
        <x:v>2024-12-01T00:00:00.000Z</x:v>
      </x:c>
      <x:c r="B301" s="9" t="n">
        <x:v>10320</x:v>
      </x:c>
      <x:c r="C301" s="9" t="n">
        <x:v>202.6</x:v>
      </x:c>
      <x:c r="D301" s="9" t="n">
        <x:v>1190</x:v>
      </x:c>
      <x:c r="E301" s="9" t="n">
        <x:v>527</x:v>
      </x:c>
      <x:c r="F301" s="9" t="n">
        <x:v>1064</x:v>
      </x:c>
      <x:c r="G301" s="9" t="n">
        <x:v>409</x:v>
      </x:c>
      <x:c r="H301" s="9" t="n">
        <x:v>440</x:v>
      </x:c>
      <x:c r="I301" s="9" t="n">
        <x:v>252.2</x:v>
      </x:c>
    </x:row>
    <x:row r="302" ht="23" customHeight="1">
      <x:c r="A302" s="8" t="d">
        <x:v>2025-01-01T00:00:00.000Z</x:v>
      </x:c>
      <x:c r="B302" s="9" t="n">
        <x:v>10750</x:v>
      </x:c>
      <x:c r="C302" s="9" t="n">
        <x:v>214.4</x:v>
      </x:c>
      <x:c r="D302" s="9" t="n">
        <x:v>1070</x:v>
      </x:c>
      <x:c r="E302" s="9" t="n">
        <x:v>478</x:v>
      </x:c>
      <x:c r="F302" s="9" t="n">
        <x:v>1048</x:v>
      </x:c>
      <x:c r="G302" s="9" t="n">
        <x:v>411</x:v>
      </x:c>
      <x:c r="H302" s="9" t="n">
        <x:v>400</x:v>
      </x:c>
      <x:c r="I302" s="9" t="n">
        <x:v>254.1</x:v>
      </x:c>
    </x:row>
    <x:row r="303" ht="23" customHeight="1">
      <x:c r="A303" s="8" t="d">
        <x:v>2025-02-01T00:00:00.000Z</x:v>
      </x:c>
      <x:c r="B303" s="9" t="n">
        <x:v>9860</x:v>
      </x:c>
      <x:c r="C303" s="9" t="n">
        <x:v>220.9</x:v>
      </x:c>
      <x:c r="D303" s="9" t="n">
        <x:v>1067</x:v>
      </x:c>
      <x:c r="E303" s="9" t="n">
        <x:v>437</x:v>
      </x:c>
      <x:c r="F303" s="9" t="n">
        <x:v>1069</x:v>
      </x:c>
      <x:c r="G303" s="9" t="n">
        <x:v>412</x:v>
      </x:c>
      <x:c r="H303" s="9" t="n">
        <x:v>420</x:v>
      </x:c>
      <x:c r="I303" s="9" t="n">
        <x:v>264.6</x:v>
      </x:c>
    </x:row>
    <x:row r="304" ht="23" customHeight="1">
      <x:c r="A304" s="8" t="d">
        <x:v>2025-03-01T00:00:00.000Z</x:v>
      </x:c>
      <x:c r="B304" s="9" t="n">
        <x:v>8080</x:v>
      </x:c>
      <x:c r="C304" s="9" t="n">
        <x:v>207.4</x:v>
      </x:c>
      <x:c r="D304" s="9" t="n">
        <x:v>1068</x:v>
      </x:c>
      <x:c r="E304" s="9" t="n">
        <x:v>425</x:v>
      </x:c>
      <x:c r="F304" s="9" t="n">
        <x:v>1011</x:v>
      </x:c>
      <x:c r="G304" s="9" t="n">
        <x:v>401</x:v>
      </x:c>
      <x:c r="H304" s="9" t="n">
        <x:v>420</x:v>
      </x:c>
      <x:c r="I304" s="9" t="n">
        <x:v>255.4</x:v>
      </x:c>
    </x:row>
    <x:row r="305" ht="23" customHeight="1">
      <x:c r="A305" s="8" t="d">
        <x:v>2025-04-01T00:00:00.000Z</x:v>
      </x:c>
      <x:c r="B305" s="9" t="n">
        <x:v>8150</x:v>
      </x:c>
      <x:c r="C305" s="9" t="n">
        <x:v>215</x:v>
      </x:c>
      <x:c r="D305" s="9" t="n">
        <x:v>994</x:v>
      </x:c>
      <x:c r="E305" s="9" t="n">
        <x:v>415</x:v>
      </x:c>
      <x:c r="F305" s="9" t="n">
        <x:v>1120</x:v>
      </x:c>
      <x:c r="G305" s="9" t="n">
        <x:v>408</x:v>
      </x:c>
      <x:c r="H305" s="9" t="n">
        <x:v>400</x:v>
      </x:c>
      <x:c r="I305" s="9" t="n">
        <x:v>249.6</x:v>
      </x:c>
    </x:row>
    <x:row r="306" ht="23" customHeight="1">
      <x:c r="A306" s="8" t="d">
        <x:v>2025-05-01T00:00:00.000Z</x:v>
      </x:c>
      <x:c r="B306" s="9" t="n">
        <x:v>8990</x:v>
      </x:c>
      <x:c r="C306" s="9" t="n">
        <x:v>203.9</x:v>
      </x:c>
      <x:c r="D306" s="9" t="n">
        <x:v>908</x:v>
      </x:c>
      <x:c r="E306" s="9" t="n">
        <x:v>431</x:v>
      </x:c>
      <x:c r="F306" s="9" t="n">
        <x:v>1163</x:v>
      </x:c>
      <x:c r="G306" s="9" t="n">
        <x:v>414</x:v>
      </x:c>
      <x:c r="H306" s="9" t="n">
        <x:v>390</x:v>
      </x:c>
      <x:c r="I306" s="9" t="n">
        <x:v>237</x:v>
      </x:c>
    </x:row>
    <x:row r="307" ht="23" customHeight="1">
      <x:c r="A307" s="8" t="d">
        <x:v>2025-06-01T00:00:00.000Z</x:v>
      </x:c>
      <x:c r="B307" s="9" t="n">
        <x:v>8400</x:v>
      </x:c>
      <x:c r="C307" s="9" t="n">
        <x:v>196.1</x:v>
      </x:c>
      <x:c r="D307" s="9" t="n">
        <x:v>935</x:v>
      </x:c>
      <x:c r="E307" s="9" t="n">
        <x:v>419</x:v>
      </x:c>
      <x:c r="F307" s="9" t="n">
        <x:v>1178</x:v>
      </x:c>
      <x:c r="G307" s="9" t="n">
        <x:v>416</x:v>
      </x:c>
      <x:c r="H307" s="9" t="n">
        <x:v>370</x:v>
      </x:c>
      <x:c r="I307" s="9" t="n">
        <x:v>240.1</x:v>
      </x:c>
    </x:row>
    <x:row r="308" ht="23" customHeight="1">
      <x:c r="A308" s="8" t="d">
        <x:v>2025-07-01T00:00:00.000Z</x:v>
      </x:c>
      <x:c r="B308" s="9" t="n">
        <x:v>7370</x:v>
      </x:c>
      <x:c r="C308" s="9" t="n">
        <x:v>192</x:v>
      </x:c>
      <x:c r="D308" s="9" t="n">
        <x:v>976</x:v>
      </x:c>
      <x:c r="E308" s="9" t="n">
        <x:v>392</x:v>
      </x:c>
      <x:c r="F308" s="9" t="n">
        <x:v>1307</x:v>
      </x:c>
      <x:c r="G308" s="9" t="n">
        <x:v>410</x:v>
      </x:c>
      <x:c r="H308" s="9" t="n">
        <x:v>370</x:v>
      </x:c>
      <x:c r="I308" s="9" t="n">
        <x:v>235</x:v>
      </x:c>
    </x:row>
    <x:row r="309" ht="23" customHeight="1">
      <x:c r="A309" s="8" t="d">
        <x:v>2025-08-01T00:00:00.000Z</x:v>
      </x:c>
      <x:c r="B309" s="9" t="n">
        <x:v>7600</x:v>
      </x:c>
      <x:c r="C309" s="9" t="n">
        <x:v>185.5</x:v>
      </x:c>
      <x:c r="D309" s="9" t="n">
        <x:v>1026</x:v>
      </x:c>
      <x:c r="E309" s="9" t="n">
        <x:v>375</x:v>
      </x:c>
      <x:c r="F309" s="9" t="n">
        <x:v>1245</x:v>
      </x:c>
      <x:c r="G309" s="9" t="n">
        <x:v>407</x:v>
      </x:c>
      <x:c r="H309" s="9" t="n">
        <x:v>370</x:v>
      </x:c>
      <x:c r="I309" s="9" t="n">
        <x:v>231.1</x:v>
      </x:c>
    </x:row>
    <x:row r="310" ht="23" customHeight="1">
      <x:c r="A310" s="8" t="d">
        <x:v>2025-09-01T00:00:00.000Z</x:v>
      </x:c>
      <x:c r="B310" s="9" t="n">
        <x:v>7030</x:v>
      </x:c>
      <x:c r="C310" s="9" t="n">
        <x:v>197.4</x:v>
      </x:c>
      <x:c r="D310" s="9" t="n">
        <x:v>1037</x:v>
      </x:c>
      <x:c r="E310" s="9" t="n">
        <x:v>374</x:v>
      </x:c>
      <x:c r="F310" s="9" t="n">
        <x:v>1159</x:v>
      </x:c>
      <x:c r="G310" s="9" t="n">
        <x:v>404</x:v>
      </x:c>
      <x:c r="H310" s="9" t="n">
        <x:v>350</x:v>
      </x:c>
      <x:c r="I310" s="9" t="n">
        <x:v>233.8</x:v>
      </x:c>
    </x:row>
    <x:row r="311" ht="23" customHeight="1">
      <x:c r="A311" s="8" t="d">
        <x:v>2025-10-01T00:00:00.000Z</x:v>
      </x:c>
      <x:c r="B311" s="9" t="n">
        <x:v>5950</x:v>
      </x:c>
      <x:c r="C311" s="9" t="n">
        <x:v>198.1</x:v>
      </x:c>
      <x:c r="D311" s="9" t="n">
        <x:v>1038</x:v>
      </x:c>
      <x:c r="E311" s="9" t="n">
        <x:v>356</x:v>
      </x:c>
      <x:c r="F311" s="9" t="n">
        <x:v>1132</x:v>
      </x:c>
      <x:c r="G311" s="9" t="n">
        <x:v>404</x:v>
      </x:c>
      <x:c r="H311" s="9" t="n">
        <x:v>340</x:v>
      </x:c>
      <x:c r="I311" s="9" t="n">
        <x:v>230.8</x:v>
      </x:c>
    </x:row>
    <x:row r="312" ht="23" customHeight="1">
      <x:c r="A312" s="8" t="d">
        <x:v>2025-11-01T00:00:00.000Z</x:v>
      </x:c>
      <x:c r="B312" s="9" t="n">
        <x:v>5610</x:v>
      </x:c>
      <x:c r="C312" s="9" t="n">
        <x:v>202</x:v>
      </x:c>
      <x:c r="D312" s="9" t="n">
        <x:v>983</x:v>
      </x:c>
      <x:c r="E312" s="9" t="n">
        <x:v>368</x:v>
      </x:c>
      <x:c r="F312" s="9" t="n">
        <x:v>1128</x:v>
      </x:c>
      <x:c r="G312" s="9" t="n">
        <x:v>446</x:v>
      </x:c>
      <x:c r="H312" s="9" t="n">
        <x:v>320</x:v>
      </x:c>
      <x:c r="I312" s="9" t="n">
        <x:v>245.9</x:v>
      </x:c>
    </x:row>
    <x:row r="313" ht="23" customHeight="1">
      <x:c r="A313" s="8" t="d">
        <x:v>2025-12-01T00:00:00.000Z</x:v>
      </x:c>
      <x:c r="B313" s="9" t="n">
        <x:v>5780</x:v>
      </x:c>
      <x:c r="C313" s="9" t="n">
        <x:v>205.7</x:v>
      </x:c>
      <x:c r="D313" s="9" t="n">
        <x:v>980</x:v>
      </x:c>
      <x:c r="E313" s="9" t="n">
        <x:v>424</x:v>
      </x:c>
      <x:c r="F313" s="9" t="n">
        <x:v>1116</x:v>
      </x:c>
      <x:c r="G313" s="9" t="n">
        <x:v>440</x:v>
      </x:c>
      <x:c r="H313" s="9" t="n">
        <x:v>320</x:v>
      </x:c>
      <x:c r="I313" s="9" t="n">
        <x:v>242.8</x:v>
      </x:c>
    </x:row>
    <x:row r="314" ht="23" customHeight="1">
      <x:c r="A314" s="8" t="d">
        <x:v>2026-01-01T00:00:00.000Z</x:v>
      </x:c>
      <x:c r="B314" s="9" t="n">
        <x:v>4970</x:v>
      </x:c>
      <x:c r="C314" s="9" t="n">
        <x:v>204.5</x:v>
      </x:c>
      <x:c r="D314" s="9" t="n">
        <x:v>1013</x:v>
      </x:c>
      <x:c r="E314" s="9" t="n">
        <x:v>408</x:v>
      </x:c>
      <x:c r="F314" s="9" t="n">
        <x:v>1154</x:v>
      </x:c>
      <x:c r="G314" s="9" t="n">
        <x:v>425</x:v>
      </x:c>
      <x:c r="H314" s="9" t="n">
        <x:v>320</x:v>
      </x:c>
      <x:c r="I314" s="9" t="n">
        <x:v>249.9</x:v>
      </x:c>
    </x:row>
    <x:row r="315" ht="23" customHeight="1">
      <x:c r="A315" s="8" t="d">
        <x:v>2026-02-01T00:00:00.000Z</x:v>
      </x:c>
      <x:c r="B315" s="9" t="n">
        <x:v>3590</x:v>
      </x:c>
      <x:c r="C315" s="9" t="n">
        <x:v>209.6</x:v>
      </x:c>
      <x:c r="D315" s="9" t="n">
        <x:v>1064</x:v>
      </x:c>
      <x:c r="E315" s="9" t="n">
        <x:v>409</x:v>
      </x:c>
      <x:c r="F315" s="9" t="n">
        <x:v>1282</x:v>
      </x:c>
      <x:c r="G315" s="9" t="n">
        <x:v>459</x:v>
      </x:c>
      <x:c r="H315" s="9" t="n">
        <x:v>310</x:v>
      </x:c>
      <x:c r="I315" s="9" t="n">
        <x:v>257.6</x:v>
      </x:c>
    </x:row>
    <x:row r="316" ht="23" customHeight="1">
      <x:c r="A316" s="8" t="d">
        <x:v>2026-03-01T00:00:00.000Z</x:v>
      </x:c>
      <x:c r="B316" s="9" t="n">
        <x:v>3240</x:v>
      </x:c>
      <x:c r="C316" s="9" t="n">
        <x:v>212.7</x:v>
      </x:c>
      <x:c r="D316" s="9" t="n">
        <x:v>1167</x:v>
      </x:c>
      <x:c r="E316" s="9" t="n">
        <x:v>381</x:v>
      </x:c>
      <x:c r="F316" s="9" t="n">
        <x:v>1493</x:v>
      </x:c>
      <x:c r="G316" s="9" t="n">
        <x:v>473</x:v>
      </x:c>
      <x:c r="H316" s="9" t="n">
        <x:v>330</x:v>
      </x:c>
      <x:c r="I316" s="9" t="n">
        <x:v>276</x:v>
      </x:c>
    </x:row>
    <x:row r="317" ht="23" customHeight="1">
      <x:c r="A317" s="8" t="d">
        <x:v>2026-04-01T00:00:00.000Z</x:v>
      </x:c>
      <x:c r="B317" s="9" t="n">
        <x:v>3400</x:v>
      </x:c>
      <x:c r="C317" s="9" t="n">
        <x:v>214</x:v>
      </x:c>
      <x:c r="D317" s="9" t="n">
        <x:v>1181</x:v>
      </x:c>
      <x:c r="E317" s="9" t="n">
        <x:v>403</x:v>
      </x:c>
      <x:c r="F317" s="9" t="n">
        <x:v>1643</x:v>
      </x:c>
      <x:c r="G317" s="9" t="n">
        <x:v>463</x:v>
      </x:c>
      <x:c r="H317" s="9" t="n">
        <x:v>320</x:v>
      </x:c>
      <x:c r="I317" s="9" t="n">
        <x:v>282</x:v>
      </x:c>
    </x:row>
    <x:row r="318" ht="23" customHeight="1">
      <x:c r="A318" s="8" t="d">
        <x:v>2026-05-01T00:00:00.000Z</x:v>
      </x:c>
      <x:c r="B318" s="9" t="n">
        <x:v>4160</x:v>
      </x:c>
      <x:c r="C318" s="9" t="n">
        <x:v>216.2</x:v>
      </x:c>
      <x:c r="D318" s="9" t="n">
        <x:v>1168</x:v>
      </x:c>
      <x:c r="E318" s="9" t="n">
        <x:v>440</x:v>
      </x:c>
      <x:c r="F318" s="9" t="n">
        <x:v>1781</x:v>
      </x:c>
      <x:c r="G318" s="9" t="n">
        <x:v>473</x:v>
      </x:c>
      <x:c r="H318" s="9" t="n">
        <x:v>340</x:v>
      </x:c>
      <x:c r="I318" s="9" t="n">
        <x:v>303</x:v>
      </x:c>
    </x:row>
    <x:row r="319" ht="23" customHeight="1">
      <x:c r="A319" s="8" t="d">
        <x:v>2026-06-01T00:00:00.000Z</x:v>
      </x:c>
      <x:c r="B319" s="9" t="n">
        <x:v>4400</x:v>
      </x:c>
      <x:c r="C319" s="9" t="n">
        <x:v>197.1</x:v>
      </x:c>
      <x:c r="D319" s="9" t="n">
        <x:v>1142</x:v>
      </x:c>
      <x:c r="E319" s="9" t="n">
        <x:v>494</x:v>
      </x:c>
      <x:c r="F319" s="9" t="n">
        <x:v>1740</x:v>
      </x:c>
      <x:c r="G319" s="9" t="n">
        <x:v>464</x:v>
      </x:c>
      <x:c r="H319" s="9" t="n">
        <x:v>320</x:v>
      </x:c>
      <x:c r="I319" s="9" t="n">
        <x:v>286</x:v>
      </x:c>
    </x:row>
    <x:row r="320" ht="23" customHeight="1">
      <x:c r="A320" s="8" t="d">
        <x:v>2026-07-01T00:00:00.000Z</x:v>
      </x:c>
      <x:c r="B320" s="9" t="n">
        <x:v>5610</x:v>
      </x:c>
      <x:c r="C320" s="9" t="n">
        <x:v>213.4</x:v>
      </x:c>
      <x:c r="D320" s="9" t="n">
        <x:v>1133</x:v>
      </x:c>
      <x:c r="E320" s="9" t="n">
        <x:v>467</x:v>
      </x:c>
      <x:c r="F320" s="9" t="n">
        <x:v>1658</x:v>
      </x:c>
      <x:c r="G320" s="9" t="n">
        <x:v>478</x:v>
      </x:c>
      <x:c r="H320" s="9" t="n">
        <x:v>340</x:v>
      </x:c>
      <x:c r="I320" s="9" t="n">
        <x:v>310</x:v>
      </x:c>
    </x:row>
    <x:row r="321" ht="23" customHeight="1">
      <x:c r="A321" s="8" t="d">
        <x:v>2026-08-01T00:00:00.000Z</x:v>
      </x:c>
      <x:c r="B321" s="9" t="n">
        <x:v>5950</x:v>
      </x:c>
      <x:c r="C321" s="9" t="n">
        <x:v>224</x:v>
      </x:c>
      <x:c r="D321" s="9" t="n">
        <x:v>1132</x:v>
      </x:c>
      <x:c r="E321" s="9" t="n">
        <x:v>471</x:v>
      </x:c>
      <x:c r="F321" s="9" t="n">
        <x:v>1639</x:v>
      </x:c>
      <x:c r="G321" s="9" t="n">
        <x:v>482</x:v>
      </x:c>
      <x:c r="H321" s="9" t="n">
        <x:v>380</x:v>
      </x:c>
      <x:c r="I321" s="9" t="n">
        <x:v>330</x:v>
      </x:c>
    </x:row>
    <x:row r="322" ht="23" customHeight="1">
      <x:c r="A322" s="8" t="d">
        <x:v>2026-09-01T00:00:00.000Z</x:v>
      </x:c>
      <x:c r="B322" s="9" t="n">
        <x:v>5920</x:v>
      </x:c>
      <x:c r="C322" s="9" t="n">
        <x:v>239.6</x:v>
      </x:c>
      <x:c r="D322" s="9" t="n">
        <x:v>1180</x:v>
      </x:c>
      <x:c r="E322" s="9" t="n">
        <x:v>482</x:v>
      </x:c>
      <x:c r="F322" s="9" t="n">
        <x:v>1615</x:v>
      </x:c>
      <x:c r="G322" s="9" t="n">
        <x:v>524</x:v>
      </x:c>
      <x:c r="H322" s="9" t="n">
        <x:v>410</x:v>
      </x:c>
      <x:c r="I322" s="9" t="n">
        <x:v>347</x:v>
      </x:c>
    </x:row>
  </x:sheetData>
  <x:pageMargins left="0.7" right="0.7" top="0.75" bottom="0.75" header="0.3" footer="0.3"/>
  <x:tableParts count="1">
    <x:tablePart xmlns:r="http://schemas.openxmlformats.org/officeDocument/2006/relationships" r:id="R73ff92deaa034e7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7" t="str">
        <x:v>Commodity</x:v>
      </x:c>
      <x:c r="B1" s="7" t="str">
        <x:v>Model</x:v>
      </x:c>
      <x:c r="C1" s="7" t="str">
        <x:v>Selected (1=yes)</x:v>
      </x:c>
      <x:c r="D1" s="7" t="str">
        <x:v>Validation MAE</x:v>
      </x:c>
      <x:c r="E1" s="7" t="str">
        <x:v>Test MAE</x:v>
      </x:c>
      <x:c r="F1" s="7" t="str">
        <x:v>Test MAPE</x:v>
      </x:c>
      <x:c r="G1" s="7" t="str">
        <x:v>Test band coverage</x:v>
      </x:c>
      <x:c r="H1" s="7" t="str">
        <x:v>Next-month USD/mt</x:v>
      </x:c>
    </x:row>
    <x:row r="2" ht="23" customHeight="1">
      <x:c r="A2" s="1" t="str">
        <x:v>Cocoa</x:v>
      </x:c>
      <x:c r="B2" s="1" t="str">
        <x:v>Last price</x:v>
      </x:c>
      <x:c r="C2" s="1" t="n">
        <x:v>1</x:v>
      </x:c>
      <x:c r="D2" s="10" t="n">
        <x:v>505</x:v>
      </x:c>
      <x:c r="E2" s="10" t="n">
        <x:v>712.5</x:v>
      </x:c>
      <x:c r="F2" s="11" t="n">
        <x:v>0.111476333</x:v>
      </x:c>
      <x:c r="G2" s="11" t="n">
        <x:v>0.625</x:v>
      </x:c>
      <x:c r="H2" s="9" t="n">
        <x:v>5920</x:v>
      </x:c>
    </x:row>
    <x:row r="3" ht="23" customHeight="1">
      <x:c r="A3" s="1" t="str">
        <x:v>Cocoa</x:v>
      </x:c>
      <x:c r="B3" s="1" t="str">
        <x:v>Seasonal naive</x:v>
      </x:c>
      <x:c r="C3" s="1" t="n">
        <x:v>0</x:v>
      </x:c>
      <x:c r="D3" s="10" t="n">
        <x:v>1943.75</x:v>
      </x:c>
      <x:c r="E3" s="10" t="n">
        <x:v>2993.3333333333</x:v>
      </x:c>
      <x:c r="F3" s="11" t="n">
        <x:v>0.5509573502</x:v>
      </x:c>
      <x:c r="G3" s="11"/>
      <x:c r="H3" s="9"/>
    </x:row>
    <x:row r="4" ht="23" customHeight="1">
      <x:c r="A4" s="1" t="str">
        <x:v>Cocoa</x:v>
      </x:c>
      <x:c r="B4" s="1" t="str">
        <x:v>Ridge lags</x:v>
      </x:c>
      <x:c r="C4" s="1" t="n">
        <x:v>0</x:v>
      </x:c>
      <x:c r="D4" s="10" t="n">
        <x:v>633.242313634</x:v>
      </x:c>
      <x:c r="E4" s="10" t="n">
        <x:v>900.1199779899</x:v>
      </x:c>
      <x:c r="F4" s="11" t="n">
        <x:v>0.1443033986</x:v>
      </x:c>
      <x:c r="G4" s="11"/>
      <x:c r="H4" s="9"/>
    </x:row>
    <x:row r="5" ht="23" customHeight="1">
      <x:c r="A5" s="1" t="str">
        <x:v>Maize</x:v>
      </x:c>
      <x:c r="B5" s="1" t="str">
        <x:v>Last price</x:v>
      </x:c>
      <x:c r="C5" s="1" t="n">
        <x:v>0</x:v>
      </x:c>
      <x:c r="D5" s="10" t="n">
        <x:v>12.5375</x:v>
      </x:c>
      <x:c r="E5" s="10" t="n">
        <x:v>7.55</x:v>
      </x:c>
      <x:c r="F5" s="11" t="n">
        <x:v>0.036344906</x:v>
      </x:c>
      <x:c r="G5" s="11"/>
      <x:c r="H5" s="9"/>
    </x:row>
    <x:row r="6" ht="23" customHeight="1">
      <x:c r="A6" s="1" t="str">
        <x:v>Maize</x:v>
      </x:c>
      <x:c r="B6" s="1" t="str">
        <x:v>Seasonal naive</x:v>
      </x:c>
      <x:c r="C6" s="1" t="n">
        <x:v>0</x:v>
      </x:c>
      <x:c r="D6" s="10" t="n">
        <x:v>73.4</x:v>
      </x:c>
      <x:c r="E6" s="10" t="n">
        <x:v>14.5166666667</x:v>
      </x:c>
      <x:c r="F6" s="11" t="n">
        <x:v>0.069058093</x:v>
      </x:c>
      <x:c r="G6" s="11"/>
      <x:c r="H6" s="9"/>
    </x:row>
    <x:row r="7" ht="23" customHeight="1">
      <x:c r="A7" s="1" t="str">
        <x:v>Maize</x:v>
      </x:c>
      <x:c r="B7" s="1" t="str">
        <x:v>Ridge lags</x:v>
      </x:c>
      <x:c r="C7" s="1" t="n">
        <x:v>1</x:v>
      </x:c>
      <x:c r="D7" s="10" t="n">
        <x:v>11.1232144258</x:v>
      </x:c>
      <x:c r="E7" s="10" t="n">
        <x:v>8.858635449</x:v>
      </x:c>
      <x:c r="F7" s="11" t="n">
        <x:v>0.0427037804</x:v>
      </x:c>
      <x:c r="G7" s="11" t="n">
        <x:v>0.8333333333</x:v>
      </x:c>
      <x:c r="H7" s="9" t="n">
        <x:v>231.9486690091</x:v>
      </x:c>
    </x:row>
    <x:row r="8" ht="23" customHeight="1">
      <x:c r="A8" s="1" t="str">
        <x:v>Palm oil</x:v>
      </x:c>
      <x:c r="B8" s="1" t="str">
        <x:v>Last price</x:v>
      </x:c>
      <x:c r="C8" s="1" t="n">
        <x:v>1</x:v>
      </x:c>
      <x:c r="D8" s="10" t="n">
        <x:v>35.5</x:v>
      </x:c>
      <x:c r="E8" s="10" t="n">
        <x:v>40.7083333333</x:v>
      </x:c>
      <x:c r="F8" s="11" t="n">
        <x:v>0.0384546389</x:v>
      </x:c>
      <x:c r="G8" s="11" t="n">
        <x:v>0.75</x:v>
      </x:c>
      <x:c r="H8" s="9" t="n">
        <x:v>1180</x:v>
      </x:c>
    </x:row>
    <x:row r="9" ht="23" customHeight="1">
      <x:c r="A9" s="1" t="str">
        <x:v>Palm oil</x:v>
      </x:c>
      <x:c r="B9" s="1" t="str">
        <x:v>Seasonal naive</x:v>
      </x:c>
      <x:c r="C9" s="1" t="n">
        <x:v>0</x:v>
      </x:c>
      <x:c r="D9" s="10" t="n">
        <x:v>270.0833333333</x:v>
      </x:c>
      <x:c r="E9" s="10" t="n">
        <x:v>149.875</x:v>
      </x:c>
      <x:c r="F9" s="11" t="n">
        <x:v>0.1369337477</x:v>
      </x:c>
      <x:c r="G9" s="11"/>
      <x:c r="H9" s="9"/>
    </x:row>
    <x:row r="10" ht="23" customHeight="1">
      <x:c r="A10" s="1" t="str">
        <x:v>Palm oil</x:v>
      </x:c>
      <x:c r="B10" s="1" t="str">
        <x:v>Ridge lags</x:v>
      </x:c>
      <x:c r="C10" s="1" t="n">
        <x:v>0</x:v>
      </x:c>
      <x:c r="D10" s="10" t="n">
        <x:v>41.5684270119</x:v>
      </x:c>
      <x:c r="E10" s="10" t="n">
        <x:v>50.4643444664</x:v>
      </x:c>
      <x:c r="F10" s="11" t="n">
        <x:v>0.0468739133</x:v>
      </x:c>
      <x:c r="G10" s="11"/>
      <x:c r="H10" s="9"/>
    </x:row>
    <x:row r="11" ht="23" customHeight="1">
      <x:c r="A11" s="1" t="str">
        <x:v>Rice</x:v>
      </x:c>
      <x:c r="B11" s="1" t="str">
        <x:v>Last price</x:v>
      </x:c>
      <x:c r="C11" s="1" t="n">
        <x:v>1</x:v>
      </x:c>
      <x:c r="D11" s="10" t="n">
        <x:v>23.7083333333</x:v>
      </x:c>
      <x:c r="E11" s="10" t="n">
        <x:v>23.1666666667</x:v>
      </x:c>
      <x:c r="F11" s="11" t="n">
        <x:v>0.052634729</x:v>
      </x:c>
      <x:c r="G11" s="11" t="n">
        <x:v>0.6666666667</x:v>
      </x:c>
      <x:c r="H11" s="9" t="n">
        <x:v>482</x:v>
      </x:c>
    </x:row>
    <x:row r="12" ht="23" customHeight="1">
      <x:c r="A12" s="1" t="str">
        <x:v>Rice</x:v>
      </x:c>
      <x:c r="B12" s="1" t="str">
        <x:v>Seasonal naive</x:v>
      </x:c>
      <x:c r="C12" s="1" t="n">
        <x:v>0</x:v>
      </x:c>
      <x:c r="D12" s="10" t="n">
        <x:v>100.3333333333</x:v>
      </x:c>
      <x:c r="E12" s="10" t="n">
        <x:v>123.4583333333</x:v>
      </x:c>
      <x:c r="F12" s="11" t="n">
        <x:v>0.2929842693</x:v>
      </x:c>
      <x:c r="G12" s="11"/>
      <x:c r="H12" s="9"/>
    </x:row>
    <x:row r="13" ht="23" customHeight="1">
      <x:c r="A13" s="1" t="str">
        <x:v>Rice</x:v>
      </x:c>
      <x:c r="B13" s="1" t="str">
        <x:v>Ridge lags</x:v>
      </x:c>
      <x:c r="C13" s="1" t="n">
        <x:v>0</x:v>
      </x:c>
      <x:c r="D13" s="10" t="n">
        <x:v>26.1071419402</x:v>
      </x:c>
      <x:c r="E13" s="10" t="n">
        <x:v>22.0509415615</x:v>
      </x:c>
      <x:c r="F13" s="11" t="n">
        <x:v>0.0500504089</x:v>
      </x:c>
      <x:c r="G13" s="11"/>
      <x:c r="H13" s="9"/>
    </x:row>
    <x:row r="14" ht="23" customHeight="1">
      <x:c r="A14" s="1" t="str">
        <x:v>Soybean oil</x:v>
      </x:c>
      <x:c r="B14" s="1" t="str">
        <x:v>Last price</x:v>
      </x:c>
      <x:c r="C14" s="1" t="n">
        <x:v>1</x:v>
      </x:c>
      <x:c r="D14" s="10" t="n">
        <x:v>59.3333333333</x:v>
      </x:c>
      <x:c r="E14" s="10" t="n">
        <x:v>66.4583333333</x:v>
      </x:c>
      <x:c r="F14" s="11" t="n">
        <x:v>0.0503701891</x:v>
      </x:c>
      <x:c r="G14" s="11" t="n">
        <x:v>0.75</x:v>
      </x:c>
      <x:c r="H14" s="9" t="n">
        <x:v>1615</x:v>
      </x:c>
    </x:row>
    <x:row r="15" ht="23" customHeight="1">
      <x:c r="A15" s="1" t="str">
        <x:v>Soybean oil</x:v>
      </x:c>
      <x:c r="B15" s="1" t="str">
        <x:v>Seasonal naive</x:v>
      </x:c>
      <x:c r="C15" s="1" t="n">
        <x:v>0</x:v>
      </x:c>
      <x:c r="D15" s="10" t="n">
        <x:v>335</x:v>
      </x:c>
      <x:c r="E15" s="10" t="n">
        <x:v>217.4583333333</x:v>
      </x:c>
      <x:c r="F15" s="11" t="n">
        <x:v>0.150266761</x:v>
      </x:c>
      <x:c r="G15" s="11"/>
      <x:c r="H15" s="9"/>
    </x:row>
    <x:row r="16" ht="23" customHeight="1">
      <x:c r="A16" s="1" t="str">
        <x:v>Soybean oil</x:v>
      </x:c>
      <x:c r="B16" s="1" t="str">
        <x:v>Ridge lags</x:v>
      </x:c>
      <x:c r="C16" s="1" t="n">
        <x:v>0</x:v>
      </x:c>
      <x:c r="D16" s="10" t="n">
        <x:v>68.3286128343</x:v>
      </x:c>
      <x:c r="E16" s="10" t="n">
        <x:v>77.3106574257</x:v>
      </x:c>
      <x:c r="F16" s="11" t="n">
        <x:v>0.0575098641</x:v>
      </x:c>
      <x:c r="G16" s="11"/>
      <x:c r="H16" s="9"/>
    </x:row>
    <x:row r="17" ht="23" customHeight="1">
      <x:c r="A17" s="1" t="str">
        <x:v>Soybeans</x:v>
      </x:c>
      <x:c r="B17" s="1" t="str">
        <x:v>Last price</x:v>
      </x:c>
      <x:c r="C17" s="1" t="n">
        <x:v>0</x:v>
      </x:c>
      <x:c r="D17" s="10" t="n">
        <x:v>24.7083333333</x:v>
      </x:c>
      <x:c r="E17" s="10" t="n">
        <x:v>13.5416666667</x:v>
      </x:c>
      <x:c r="F17" s="11" t="n">
        <x:v>0.0301009839</x:v>
      </x:c>
      <x:c r="G17" s="11"/>
      <x:c r="H17" s="9"/>
    </x:row>
    <x:row r="18" ht="23" customHeight="1">
      <x:c r="A18" s="1" t="str">
        <x:v>Soybeans</x:v>
      </x:c>
      <x:c r="B18" s="1" t="str">
        <x:v>Seasonal naive</x:v>
      </x:c>
      <x:c r="C18" s="1" t="n">
        <x:v>0</x:v>
      </x:c>
      <x:c r="D18" s="10" t="n">
        <x:v>104.9583333333</x:v>
      </x:c>
      <x:c r="E18" s="10" t="n">
        <x:v>66.625</x:v>
      </x:c>
      <x:c r="F18" s="11" t="n">
        <x:v>0.1526227331</x:v>
      </x:c>
      <x:c r="G18" s="11"/>
      <x:c r="H18" s="9"/>
    </x:row>
    <x:row r="19" ht="23" customHeight="1">
      <x:c r="A19" s="1" t="str">
        <x:v>Soybeans</x:v>
      </x:c>
      <x:c r="B19" s="1" t="str">
        <x:v>Ridge lags</x:v>
      </x:c>
      <x:c r="C19" s="1" t="n">
        <x:v>1</x:v>
      </x:c>
      <x:c r="D19" s="10" t="n">
        <x:v>21.2371851345</x:v>
      </x:c>
      <x:c r="E19" s="10" t="n">
        <x:v>13.4517924814</x:v>
      </x:c>
      <x:c r="F19" s="11" t="n">
        <x:v>0.0300348725</x:v>
      </x:c>
      <x:c r="G19" s="11" t="n">
        <x:v>0.875</x:v>
      </x:c>
      <x:c r="H19" s="9" t="n">
        <x:v>508.0988115485</x:v>
      </x:c>
    </x:row>
    <x:row r="20" ht="23" customHeight="1">
      <x:c r="A20" s="1" t="str">
        <x:v>Sugar</x:v>
      </x:c>
      <x:c r="B20" s="1" t="str">
        <x:v>Last price</x:v>
      </x:c>
      <x:c r="C20" s="1" t="n">
        <x:v>1</x:v>
      </x:c>
      <x:c r="D20" s="10" t="n">
        <x:v>22.5</x:v>
      </x:c>
      <x:c r="E20" s="10" t="n">
        <x:v>15</x:v>
      </x:c>
      <x:c r="F20" s="11" t="n">
        <x:v>0.040656352</x:v>
      </x:c>
      <x:c r="G20" s="11" t="n">
        <x:v>0.875</x:v>
      </x:c>
      <x:c r="H20" s="9" t="n">
        <x:v>410</x:v>
      </x:c>
    </x:row>
    <x:row r="21" ht="23" customHeight="1">
      <x:c r="A21" s="1" t="str">
        <x:v>Sugar</x:v>
      </x:c>
      <x:c r="B21" s="1" t="str">
        <x:v>Seasonal naive</x:v>
      </x:c>
      <x:c r="C21" s="1" t="n">
        <x:v>0</x:v>
      </x:c>
      <x:c r="D21" s="10" t="n">
        <x:v>90.4166666667</x:v>
      </x:c>
      <x:c r="E21" s="10" t="n">
        <x:v>73.3333333333</x:v>
      </x:c>
      <x:c r="F21" s="11" t="n">
        <x:v>0.2031694938</x:v>
      </x:c>
      <x:c r="G21" s="11"/>
      <x:c r="H21" s="9"/>
    </x:row>
    <x:row r="22" ht="23" customHeight="1">
      <x:c r="A22" s="1" t="str">
        <x:v>Sugar</x:v>
      </x:c>
      <x:c r="B22" s="1" t="str">
        <x:v>Ridge lags</x:v>
      </x:c>
      <x:c r="C22" s="1" t="n">
        <x:v>0</x:v>
      </x:c>
      <x:c r="D22" s="10" t="n">
        <x:v>27.8515509812</x:v>
      </x:c>
      <x:c r="E22" s="10" t="n">
        <x:v>16.7641881455</x:v>
      </x:c>
      <x:c r="F22" s="11" t="n">
        <x:v>0.04483307</x:v>
      </x:c>
      <x:c r="G22" s="11"/>
      <x:c r="H22" s="9"/>
    </x:row>
    <x:row r="23" ht="23" customHeight="1">
      <x:c r="A23" s="1" t="str">
        <x:v>Wheat</x:v>
      </x:c>
      <x:c r="B23" s="1" t="str">
        <x:v>Last price</x:v>
      </x:c>
      <x:c r="C23" s="1" t="n">
        <x:v>0</x:v>
      </x:c>
      <x:c r="D23" s="10" t="n">
        <x:v>13.3083333333</x:v>
      </x:c>
      <x:c r="E23" s="10" t="n">
        <x:v>9.9208333333</x:v>
      </x:c>
      <x:c r="F23" s="11" t="n">
        <x:v>0.0360471067</x:v>
      </x:c>
      <x:c r="G23" s="11"/>
      <x:c r="H23" s="9"/>
    </x:row>
    <x:row r="24" ht="23" customHeight="1">
      <x:c r="A24" s="1" t="str">
        <x:v>Wheat</x:v>
      </x:c>
      <x:c r="B24" s="1" t="str">
        <x:v>Seasonal naive</x:v>
      </x:c>
      <x:c r="C24" s="1" t="n">
        <x:v>0</x:v>
      </x:c>
      <x:c r="D24" s="10" t="n">
        <x:v>83.2708333333</x:v>
      </x:c>
      <x:c r="E24" s="10" t="n">
        <x:v>35.8833333333</x:v>
      </x:c>
      <x:c r="F24" s="11" t="n">
        <x:v>0.1294930835</x:v>
      </x:c>
      <x:c r="G24" s="11"/>
      <x:c r="H24" s="9"/>
    </x:row>
    <x:row r="25" ht="23" customHeight="1">
      <x:c r="A25" s="1" t="str">
        <x:v>Wheat</x:v>
      </x:c>
      <x:c r="B25" s="1" t="str">
        <x:v>Ridge lags</x:v>
      </x:c>
      <x:c r="C25" s="1" t="n">
        <x:v>1</x:v>
      </x:c>
      <x:c r="D25" s="10" t="n">
        <x:v>12.1338013006</x:v>
      </x:c>
      <x:c r="E25" s="10" t="n">
        <x:v>11.4245451047</x:v>
      </x:c>
      <x:c r="F25" s="11" t="n">
        <x:v>0.040945514</x:v>
      </x:c>
      <x:c r="G25" s="11" t="n">
        <x:v>0.7083333333</x:v>
      </x:c>
      <x:c r="H25" s="9" t="n">
        <x:v>336.2338721997</x:v>
      </x:c>
    </x:row>
    <x:row r="26" ht="23" customHeight="1">
      <x:c r="A26" s="1"/>
      <x:c r="B26" s="1"/>
      <x:c r="C26" s="1"/>
      <x:c r="D26" s="1"/>
      <x:c r="E26" s="1"/>
      <x:c r="F26" s="1"/>
      <x:c r="G26" s="1"/>
      <x:c r="H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30" customHeight="1">
      <x:c r="A1" s="7" t="str">
        <x:v>Field</x:v>
      </x:c>
      <x:c r="B1" s="7" t="str">
        <x:v>Definition</x:v>
      </x:c>
    </x:row>
    <x:row r="2" ht="42" customHeight="1">
      <x:c r="A2" s="1" t="str">
        <x:v>Provider</x:v>
      </x:c>
      <x:c r="B2" s="18" t="str">
        <x:v>World Bank Pink Sheet</x:v>
      </x:c>
    </x:row>
    <x:row r="3" ht="42" customHeight="1">
      <x:c r="A3" s="1" t="str">
        <x:v>Source URL</x:v>
      </x:c>
      <x:c r="B3" s="18" t="str">
        <x:v>https://thedocs.worldbank.org/en/doc/74e8be41ceb20fa0da750cda2f6b9e4e-0050012026/related/CMO-Historical-Data-Monthly.xlsx</x:v>
      </x:c>
    </x:row>
    <x:row r="4" ht="42" customHeight="1">
      <x:c r="A4" s="1" t="str">
        <x:v>Source sheet</x:v>
      </x:c>
      <x:c r="B4" s="18" t="str">
        <x:v>Monthly Prices (explicitly selected, not first sheet)</x:v>
      </x:c>
    </x:row>
    <x:row r="5" ht="42" customHeight="1">
      <x:c r="A5" s="1" t="str">
        <x:v>Snapshot retrieved</x:v>
      </x:c>
      <x:c r="B5" s="18" t="str">
        <x:v>2026-10-21</x:v>
      </x:c>
    </x:row>
    <x:row r="6" ht="42" customHeight="1">
      <x:c r="A6" s="1" t="str">
        <x:v>Source updated</x:v>
      </x:c>
      <x:c r="B6" s="18" t="str">
        <x:v>2026-10-02</x:v>
      </x:c>
    </x:row>
    <x:row r="7" ht="42" customHeight="1">
      <x:c r="A7" s="1" t="str">
        <x:v>History</x:v>
      </x:c>
      <x:c r="B7" s="18" t="str">
        <x:v>Monthly January 2000 to September 2026</x:v>
      </x:c>
    </x:row>
    <x:row r="8" ht="42" customHeight="1">
      <x:c r="A8" s="1" t="str">
        <x:v>Units</x:v>
      </x:c>
      <x:c r="B8" s="18" t="str">
        <x:v>All USD/metric ton. Sugar and cocoa multiply USD/kg by 1,000.</x:v>
      </x:c>
    </x:row>
    <x:row r="9" ht="42" customHeight="1">
      <x:c r="A9" s="1" t="str">
        <x:v>Forecast refresh</x:v>
      </x:c>
      <x:c r="B9" s="18" t="str">
        <x:v>python python/pipeline.py refits; rebuild workbook to update snapshots.</x:v>
      </x:c>
    </x:row>
    <x:row r="10" ht="42" customHeight="1">
      <x:c r="A10" s="1" t="str">
        <x:v>Source caveat</x:v>
      </x:c>
      <x:c r="B10" s="18" t="str">
        <x:v>Workbook contains ancillary Mismatch Details. Analysis uses Monthly Prices only; original snapshot preserved. No claim of independent price verification.</x:v>
      </x:c>
    </x:row>
    <x:row r="11" ht="23" customHeight="1">
      <x:c r="A11" s="1"/>
      <x:c r="B11" s="1"/>
    </x:row>
    <x:row r="12" ht="23" customHeight="1">
      <x:c r="A12" s="1"/>
      <x:c r="B12" s="1"/>
    </x:row>
    <x:row r="13" ht="23" customHeight="1">
      <x:c r="A13" s="1"/>
      <x:c r="B13" s="1"/>
    </x:row>
    <x:row r="14" ht="23" customHeight="1">
      <x:c r="A14" s="1"/>
      <x:c r="B14" s="1"/>
    </x:row>
    <x:row r="15" ht="23" customHeight="1">
      <x:c r="A15" s="1"/>
      <x:c r="B15" s="1"/>
    </x:row>
    <x:row r="16" ht="23" customHeight="1">
      <x:c r="A16" s="1"/>
      <x:c r="B16" s="1"/>
    </x:row>
    <x:row r="17" ht="23" customHeight="1">
      <x:c r="A17" s="1"/>
      <x:c r="B17" s="1"/>
    </x:row>
    <x:row r="18" ht="23" customHeight="1">
      <x:c r="A18" s="1"/>
      <x:c r="B18" s="1"/>
    </x:row>
    <x:row r="19" ht="23" customHeight="1">
      <x:c r="A19" s="1"/>
      <x:c r="B19" s="1"/>
    </x:row>
    <x:row r="20" ht="23" customHeight="1">
      <x:c r="A20" s="1"/>
      <x:c r="B20" s="1"/>
    </x:row>
  </x:sheetData>
  <x:pageMargins left="0.7" right="0.7" top="0.75" bottom="0.75" header="0.3" footer="0.3"/>
</x:worksheet>
</file>